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Volumes/1TB-NVME/Documents/ARA/Membership XLS/"/>
    </mc:Choice>
  </mc:AlternateContent>
  <xr:revisionPtr revIDLastSave="0" documentId="13_ncr:1_{1A5E2EE1-BD27-6349-AF8B-5347E25B5BF7}" xr6:coauthVersionLast="47" xr6:coauthVersionMax="47" xr10:uidLastSave="{00000000-0000-0000-0000-000000000000}"/>
  <bookViews>
    <workbookView xWindow="1760" yWindow="600" windowWidth="62940" windowHeight="14220" firstSheet="3" activeTab="3" xr2:uid="{596EBB5F-262C-4913-92F7-64455947D7DE}"/>
  </bookViews>
  <sheets>
    <sheet name="ASHFORD RESIDENTS ASSOCIATION" sheetId="2" r:id="rId1"/>
    <sheet name="Cash" sheetId="17" r:id="rId2"/>
    <sheet name="PayPal&gt;" sheetId="16" r:id="rId3"/>
    <sheet name="ALL MEMBERS" sheetId="18" r:id="rId4"/>
    <sheet name="&lt;PayPal" sheetId="11" r:id="rId5"/>
    <sheet name="BLANK SIGN UP NEW MEMBERS" sheetId="6" r:id="rId6"/>
    <sheet name="BLANK SIGN UP SHEET 2" sheetId="15" r:id="rId7"/>
    <sheet name="ALL MEMBERS x1" sheetId="8" r:id="rId8"/>
  </sheets>
  <definedNames>
    <definedName name="_xlnm._FilterDatabase" localSheetId="4" hidden="1">'&lt;PayPal'!$A$1:$K$1</definedName>
    <definedName name="_xlnm._FilterDatabase" localSheetId="3" hidden="1">'ALL MEMBERS'!$A$1:$S$284</definedName>
    <definedName name="_xlnm._FilterDatabase" localSheetId="7" hidden="1">'ALL MEMBERS x1'!$A$1:$R$261</definedName>
    <definedName name="_xlnm._FilterDatabase" localSheetId="1" hidden="1">Cash!$B$1:$E$1</definedName>
    <definedName name="_xlnm._FilterDatabase" localSheetId="2" hidden="1">'PayPal&gt;'!$B$1:$AP$1</definedName>
    <definedName name="_xlnm.Print_Area" localSheetId="5">'BLANK SIGN UP NEW MEMBERS'!$A$1:$F$17</definedName>
    <definedName name="_xlnm.Print_Area" localSheetId="6">'BLANK SIGN UP SHEET 2'!$A$1:$E$22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8" l="1"/>
  <c r="A284" i="18"/>
  <c r="A283" i="18"/>
  <c r="K62" i="16"/>
  <c r="J62" i="16"/>
  <c r="I62" i="16"/>
  <c r="K61" i="16"/>
  <c r="J61" i="16"/>
  <c r="A259" i="18"/>
  <c r="A260" i="18"/>
  <c r="A261" i="18"/>
  <c r="A262" i="18"/>
  <c r="A263" i="18"/>
  <c r="A264" i="18"/>
  <c r="A265" i="18"/>
  <c r="A266" i="18"/>
  <c r="A267" i="18"/>
  <c r="A268" i="18"/>
  <c r="A269" i="18"/>
  <c r="A270" i="18"/>
  <c r="A271" i="18"/>
  <c r="A272" i="18"/>
  <c r="A273" i="18"/>
  <c r="A274" i="18"/>
  <c r="A275" i="18"/>
  <c r="A276" i="18"/>
  <c r="A277" i="18"/>
  <c r="A278" i="18"/>
  <c r="A279" i="18"/>
  <c r="A280" i="18"/>
  <c r="A281" i="18"/>
  <c r="A282" i="18"/>
  <c r="C272" i="18"/>
  <c r="C274" i="18"/>
  <c r="C273" i="18"/>
  <c r="A22" i="17"/>
  <c r="A21" i="17"/>
  <c r="A20" i="17"/>
  <c r="A19" i="17"/>
  <c r="C271" i="18"/>
  <c r="C270" i="18"/>
  <c r="C269" i="18"/>
  <c r="C268" i="18"/>
  <c r="C267" i="18"/>
  <c r="C266" i="18"/>
  <c r="C265" i="18"/>
  <c r="C262" i="18"/>
  <c r="C263" i="18"/>
  <c r="C264" i="18"/>
  <c r="A2" i="18"/>
  <c r="C261" i="18"/>
  <c r="A28" i="16"/>
  <c r="A29" i="16"/>
  <c r="A30" i="16"/>
  <c r="A32" i="16"/>
  <c r="A33" i="16"/>
  <c r="A34" i="16"/>
  <c r="A35" i="16"/>
  <c r="A36" i="16"/>
  <c r="A37" i="16"/>
  <c r="A38" i="16"/>
  <c r="C27" i="18"/>
  <c r="A14" i="17"/>
  <c r="A15" i="17"/>
  <c r="A17" i="17"/>
  <c r="A18" i="17"/>
  <c r="C260" i="18"/>
  <c r="C158" i="18"/>
  <c r="C121" i="18"/>
  <c r="C48" i="18"/>
  <c r="C220" i="18"/>
  <c r="A27" i="16"/>
  <c r="A26" i="16"/>
  <c r="A25" i="16"/>
  <c r="A24" i="16"/>
  <c r="A23" i="16"/>
  <c r="C256" i="18"/>
  <c r="C257" i="18"/>
  <c r="C259" i="18"/>
  <c r="A258" i="18"/>
  <c r="A257" i="18"/>
  <c r="A256" i="18"/>
  <c r="C255" i="18"/>
  <c r="A255" i="18"/>
  <c r="C254" i="18"/>
  <c r="A254" i="18"/>
  <c r="C253" i="18"/>
  <c r="A253" i="18"/>
  <c r="C252" i="18"/>
  <c r="A252" i="18"/>
  <c r="C251" i="18"/>
  <c r="A251" i="18"/>
  <c r="C250" i="18"/>
  <c r="A250" i="18"/>
  <c r="C249" i="18"/>
  <c r="A249" i="18"/>
  <c r="C248" i="18"/>
  <c r="A248" i="18"/>
  <c r="C247" i="18"/>
  <c r="A247" i="18"/>
  <c r="C246" i="18"/>
  <c r="A246" i="18"/>
  <c r="C245" i="18"/>
  <c r="A245" i="18"/>
  <c r="C244" i="18"/>
  <c r="A244" i="18"/>
  <c r="C243" i="18"/>
  <c r="A243" i="18"/>
  <c r="C242" i="18"/>
  <c r="A242" i="18"/>
  <c r="C241" i="18"/>
  <c r="A241" i="18"/>
  <c r="C240" i="18"/>
  <c r="A240" i="18"/>
  <c r="C239" i="18"/>
  <c r="A239" i="18"/>
  <c r="C238" i="18"/>
  <c r="A238" i="18"/>
  <c r="C237" i="18"/>
  <c r="A237" i="18"/>
  <c r="C236" i="18"/>
  <c r="A236" i="18"/>
  <c r="C235" i="18"/>
  <c r="A235" i="18"/>
  <c r="C234" i="18"/>
  <c r="A234" i="18"/>
  <c r="C233" i="18"/>
  <c r="A233" i="18"/>
  <c r="C232" i="18"/>
  <c r="A232" i="18"/>
  <c r="C231" i="18"/>
  <c r="A231" i="18"/>
  <c r="C230" i="18"/>
  <c r="A230" i="18"/>
  <c r="C229" i="18"/>
  <c r="A229" i="18"/>
  <c r="C228" i="18"/>
  <c r="A228" i="18"/>
  <c r="C227" i="18"/>
  <c r="A227" i="18"/>
  <c r="C226" i="18"/>
  <c r="A226" i="18"/>
  <c r="C225" i="18"/>
  <c r="A225" i="18"/>
  <c r="C224" i="18"/>
  <c r="A224" i="18"/>
  <c r="C223" i="18"/>
  <c r="A223" i="18"/>
  <c r="C222" i="18"/>
  <c r="A222" i="18"/>
  <c r="C221" i="18"/>
  <c r="A221" i="18"/>
  <c r="A220" i="18"/>
  <c r="C219" i="18"/>
  <c r="A219" i="18"/>
  <c r="C218" i="18"/>
  <c r="A218" i="18"/>
  <c r="C217" i="18"/>
  <c r="A217" i="18"/>
  <c r="C216" i="18"/>
  <c r="A216" i="18"/>
  <c r="C215" i="18"/>
  <c r="A215" i="18"/>
  <c r="C214" i="18"/>
  <c r="A214" i="18"/>
  <c r="C213" i="18"/>
  <c r="A213" i="18"/>
  <c r="C212" i="18"/>
  <c r="A212" i="18"/>
  <c r="C211" i="18"/>
  <c r="A211" i="18"/>
  <c r="C210" i="18"/>
  <c r="A210" i="18"/>
  <c r="C209" i="18"/>
  <c r="A209" i="18"/>
  <c r="C208" i="18"/>
  <c r="A208" i="18"/>
  <c r="C207" i="18"/>
  <c r="A207" i="18"/>
  <c r="C206" i="18"/>
  <c r="A206" i="18"/>
  <c r="C205" i="18"/>
  <c r="A205" i="18"/>
  <c r="C204" i="18"/>
  <c r="A204" i="18"/>
  <c r="C203" i="18"/>
  <c r="A203" i="18"/>
  <c r="C202" i="18"/>
  <c r="A202" i="18"/>
  <c r="C201" i="18"/>
  <c r="A201" i="18"/>
  <c r="C200" i="18"/>
  <c r="A200" i="18"/>
  <c r="C199" i="18"/>
  <c r="A199" i="18"/>
  <c r="C198" i="18"/>
  <c r="A198" i="18"/>
  <c r="C197" i="18"/>
  <c r="A197" i="18"/>
  <c r="C196" i="18"/>
  <c r="A196" i="18"/>
  <c r="C195" i="18"/>
  <c r="A195" i="18"/>
  <c r="C194" i="18"/>
  <c r="A194" i="18"/>
  <c r="C193" i="18"/>
  <c r="A193" i="18"/>
  <c r="C192" i="18"/>
  <c r="A192" i="18"/>
  <c r="C191" i="18"/>
  <c r="A191" i="18"/>
  <c r="C190" i="18"/>
  <c r="A190" i="18"/>
  <c r="C189" i="18"/>
  <c r="A189" i="18"/>
  <c r="C188" i="18"/>
  <c r="A188" i="18"/>
  <c r="C187" i="18"/>
  <c r="A187" i="18"/>
  <c r="C186" i="18"/>
  <c r="A186" i="18"/>
  <c r="C185" i="18"/>
  <c r="A185" i="18"/>
  <c r="C184" i="18"/>
  <c r="A184" i="18"/>
  <c r="C183" i="18"/>
  <c r="A183" i="18"/>
  <c r="C182" i="18"/>
  <c r="A182" i="18"/>
  <c r="C181" i="18"/>
  <c r="A181" i="18"/>
  <c r="C180" i="18"/>
  <c r="A180" i="18"/>
  <c r="C179" i="18"/>
  <c r="A179" i="18"/>
  <c r="C178" i="18"/>
  <c r="A178" i="18"/>
  <c r="C177" i="18"/>
  <c r="A177" i="18"/>
  <c r="C176" i="18"/>
  <c r="A176" i="18"/>
  <c r="C175" i="18"/>
  <c r="A175" i="18"/>
  <c r="C174" i="18"/>
  <c r="A174" i="18"/>
  <c r="C173" i="18"/>
  <c r="A173" i="18"/>
  <c r="C172" i="18"/>
  <c r="A172" i="18"/>
  <c r="C171" i="18"/>
  <c r="A171" i="18"/>
  <c r="C170" i="18"/>
  <c r="A170" i="18"/>
  <c r="C169" i="18"/>
  <c r="A169" i="18"/>
  <c r="C168" i="18"/>
  <c r="A168" i="18"/>
  <c r="C167" i="18"/>
  <c r="A167" i="18"/>
  <c r="C166" i="18"/>
  <c r="A166" i="18"/>
  <c r="C165" i="18"/>
  <c r="A165" i="18"/>
  <c r="C164" i="18"/>
  <c r="A164" i="18"/>
  <c r="C163" i="18"/>
  <c r="A163" i="18"/>
  <c r="C162" i="18"/>
  <c r="A162" i="18"/>
  <c r="C161" i="18"/>
  <c r="A161" i="18"/>
  <c r="C160" i="18"/>
  <c r="A160" i="18"/>
  <c r="C159" i="18"/>
  <c r="A159" i="18"/>
  <c r="A158" i="18"/>
  <c r="C157" i="18"/>
  <c r="A157" i="18"/>
  <c r="C156" i="18"/>
  <c r="A156" i="18"/>
  <c r="C155" i="18"/>
  <c r="A155" i="18"/>
  <c r="C154" i="18"/>
  <c r="A154" i="18"/>
  <c r="C153" i="18"/>
  <c r="A153" i="18"/>
  <c r="C152" i="18"/>
  <c r="A152" i="18"/>
  <c r="C151" i="18"/>
  <c r="A151" i="18"/>
  <c r="C150" i="18"/>
  <c r="A150" i="18"/>
  <c r="C149" i="18"/>
  <c r="A149" i="18"/>
  <c r="C148" i="18"/>
  <c r="A148" i="18"/>
  <c r="C147" i="18"/>
  <c r="A147" i="18"/>
  <c r="C146" i="18"/>
  <c r="A146" i="18"/>
  <c r="C145" i="18"/>
  <c r="A145" i="18"/>
  <c r="C144" i="18"/>
  <c r="A144" i="18"/>
  <c r="C143" i="18"/>
  <c r="A143" i="18"/>
  <c r="C142" i="18"/>
  <c r="A142" i="18"/>
  <c r="C141" i="18"/>
  <c r="A141" i="18"/>
  <c r="C140" i="18"/>
  <c r="A140" i="18"/>
  <c r="C139" i="18"/>
  <c r="A139" i="18"/>
  <c r="C138" i="18"/>
  <c r="A138" i="18"/>
  <c r="C137" i="18"/>
  <c r="A137" i="18"/>
  <c r="C136" i="18"/>
  <c r="A136" i="18"/>
  <c r="C135" i="18"/>
  <c r="A135" i="18"/>
  <c r="C134" i="18"/>
  <c r="A134" i="18"/>
  <c r="C133" i="18"/>
  <c r="A133" i="18"/>
  <c r="C132" i="18"/>
  <c r="A132" i="18"/>
  <c r="C131" i="18"/>
  <c r="A131" i="18"/>
  <c r="C130" i="18"/>
  <c r="A130" i="18"/>
  <c r="C129" i="18"/>
  <c r="A129" i="18"/>
  <c r="C128" i="18"/>
  <c r="A128" i="18"/>
  <c r="C127" i="18"/>
  <c r="A127" i="18"/>
  <c r="C126" i="18"/>
  <c r="A126" i="18"/>
  <c r="C125" i="18"/>
  <c r="A125" i="18"/>
  <c r="C124" i="18"/>
  <c r="A124" i="18"/>
  <c r="C123" i="18"/>
  <c r="A123" i="18"/>
  <c r="C122" i="18"/>
  <c r="A122" i="18"/>
  <c r="A121" i="18"/>
  <c r="C120" i="18"/>
  <c r="A120" i="18"/>
  <c r="C119" i="18"/>
  <c r="A119" i="18"/>
  <c r="C118" i="18"/>
  <c r="A118" i="18"/>
  <c r="C117" i="18"/>
  <c r="A117" i="18"/>
  <c r="C116" i="18"/>
  <c r="A116" i="18"/>
  <c r="C115" i="18"/>
  <c r="A115" i="18"/>
  <c r="C114" i="18"/>
  <c r="A114" i="18"/>
  <c r="C113" i="18"/>
  <c r="A113" i="18"/>
  <c r="C112" i="18"/>
  <c r="A112" i="18"/>
  <c r="C111" i="18"/>
  <c r="A111" i="18"/>
  <c r="C110" i="18"/>
  <c r="A110" i="18"/>
  <c r="C109" i="18"/>
  <c r="A109" i="18"/>
  <c r="C108" i="18"/>
  <c r="A108" i="18"/>
  <c r="C107" i="18"/>
  <c r="A107" i="18"/>
  <c r="C106" i="18"/>
  <c r="A106" i="18"/>
  <c r="C105" i="18"/>
  <c r="A105" i="18"/>
  <c r="C104" i="18"/>
  <c r="A104" i="18"/>
  <c r="C103" i="18"/>
  <c r="A103" i="18"/>
  <c r="C102" i="18"/>
  <c r="A102" i="18"/>
  <c r="C101" i="18"/>
  <c r="A101" i="18"/>
  <c r="C100" i="18"/>
  <c r="A100" i="18"/>
  <c r="C99" i="18"/>
  <c r="A99" i="18"/>
  <c r="C98" i="18"/>
  <c r="A98" i="18"/>
  <c r="C97" i="18"/>
  <c r="A97" i="18"/>
  <c r="C96" i="18"/>
  <c r="A96" i="18"/>
  <c r="C95" i="18"/>
  <c r="A95" i="18"/>
  <c r="C94" i="18"/>
  <c r="A94" i="18"/>
  <c r="C93" i="18"/>
  <c r="A93" i="18"/>
  <c r="C92" i="18"/>
  <c r="A92" i="18"/>
  <c r="C91" i="18"/>
  <c r="A91" i="18"/>
  <c r="C90" i="18"/>
  <c r="A90" i="18"/>
  <c r="C89" i="18"/>
  <c r="A89" i="18"/>
  <c r="C88" i="18"/>
  <c r="A88" i="18"/>
  <c r="C87" i="18"/>
  <c r="A87" i="18"/>
  <c r="C86" i="18"/>
  <c r="A86" i="18"/>
  <c r="C85" i="18"/>
  <c r="A85" i="18"/>
  <c r="C84" i="18"/>
  <c r="A84" i="18"/>
  <c r="C83" i="18"/>
  <c r="A83" i="18"/>
  <c r="C82" i="18"/>
  <c r="A82" i="18"/>
  <c r="C81" i="18"/>
  <c r="A81" i="18"/>
  <c r="C80" i="18"/>
  <c r="A80" i="18"/>
  <c r="C79" i="18"/>
  <c r="A79" i="18"/>
  <c r="C78" i="18"/>
  <c r="A78" i="18"/>
  <c r="C77" i="18"/>
  <c r="A77" i="18"/>
  <c r="C76" i="18"/>
  <c r="A76" i="18"/>
  <c r="C75" i="18"/>
  <c r="A75" i="18"/>
  <c r="C74" i="18"/>
  <c r="A74" i="18"/>
  <c r="C73" i="18"/>
  <c r="A73" i="18"/>
  <c r="C72" i="18"/>
  <c r="A72" i="18"/>
  <c r="C71" i="18"/>
  <c r="A71" i="18"/>
  <c r="C70" i="18"/>
  <c r="A70" i="18"/>
  <c r="C69" i="18"/>
  <c r="A69" i="18"/>
  <c r="C68" i="18"/>
  <c r="A68" i="18"/>
  <c r="C67" i="18"/>
  <c r="A67" i="18"/>
  <c r="C66" i="18"/>
  <c r="A66" i="18"/>
  <c r="C65" i="18"/>
  <c r="A65" i="18"/>
  <c r="C64" i="18"/>
  <c r="A64" i="18"/>
  <c r="C63" i="18"/>
  <c r="A63" i="18"/>
  <c r="C62" i="18"/>
  <c r="A62" i="18"/>
  <c r="C61" i="18"/>
  <c r="A61" i="18"/>
  <c r="C60" i="18"/>
  <c r="A60" i="18"/>
  <c r="C59" i="18"/>
  <c r="A59" i="18"/>
  <c r="C58" i="18"/>
  <c r="A58" i="18"/>
  <c r="C57" i="18"/>
  <c r="A57" i="18"/>
  <c r="C56" i="18"/>
  <c r="A56" i="18"/>
  <c r="C55" i="18"/>
  <c r="A55" i="18"/>
  <c r="C54" i="18"/>
  <c r="A54" i="18"/>
  <c r="C53" i="18"/>
  <c r="A53" i="18"/>
  <c r="C52" i="18"/>
  <c r="A52" i="18"/>
  <c r="C51" i="18"/>
  <c r="A51" i="18"/>
  <c r="C50" i="18"/>
  <c r="A50" i="18"/>
  <c r="C49" i="18"/>
  <c r="A49" i="18"/>
  <c r="A48" i="18"/>
  <c r="C47" i="18"/>
  <c r="A47" i="18"/>
  <c r="C46" i="18"/>
  <c r="A46" i="18"/>
  <c r="C45" i="18"/>
  <c r="A45" i="18"/>
  <c r="C44" i="18"/>
  <c r="A44" i="18"/>
  <c r="C43" i="18"/>
  <c r="A43" i="18"/>
  <c r="C42" i="18"/>
  <c r="A42" i="18"/>
  <c r="C41" i="18"/>
  <c r="A41" i="18"/>
  <c r="C40" i="18"/>
  <c r="A40" i="18"/>
  <c r="C39" i="18"/>
  <c r="A39" i="18"/>
  <c r="C38" i="18"/>
  <c r="A38" i="18"/>
  <c r="C37" i="18"/>
  <c r="A37" i="18"/>
  <c r="C36" i="18"/>
  <c r="A36" i="18"/>
  <c r="C35" i="18"/>
  <c r="A35" i="18"/>
  <c r="C34" i="18"/>
  <c r="A34" i="18"/>
  <c r="C33" i="18"/>
  <c r="A33" i="18"/>
  <c r="C32" i="18"/>
  <c r="A32" i="18"/>
  <c r="C31" i="18"/>
  <c r="A31" i="18"/>
  <c r="C30" i="18"/>
  <c r="A30" i="18"/>
  <c r="C29" i="18"/>
  <c r="A29" i="18"/>
  <c r="C28" i="18"/>
  <c r="A28" i="18"/>
  <c r="A27" i="18"/>
  <c r="C26" i="18"/>
  <c r="A26" i="18"/>
  <c r="C25" i="18"/>
  <c r="A25" i="18"/>
  <c r="C24" i="18"/>
  <c r="A24" i="18"/>
  <c r="C23" i="18"/>
  <c r="C22" i="18"/>
  <c r="A22" i="18"/>
  <c r="C21" i="18"/>
  <c r="A21" i="18"/>
  <c r="C20" i="18"/>
  <c r="A20" i="18"/>
  <c r="C19" i="18"/>
  <c r="A19" i="18"/>
  <c r="C18" i="18"/>
  <c r="A18" i="18"/>
  <c r="C17" i="18"/>
  <c r="A17" i="18"/>
  <c r="C16" i="18"/>
  <c r="A16" i="18"/>
  <c r="C15" i="18"/>
  <c r="A15" i="18"/>
  <c r="C14" i="18"/>
  <c r="A14" i="18"/>
  <c r="C13" i="18"/>
  <c r="A13" i="18"/>
  <c r="C12" i="18"/>
  <c r="A12" i="18"/>
  <c r="C11" i="18"/>
  <c r="A11" i="18"/>
  <c r="C10" i="18"/>
  <c r="A10" i="18"/>
  <c r="C9" i="18"/>
  <c r="A9" i="18"/>
  <c r="C8" i="18"/>
  <c r="A8" i="18"/>
  <c r="C7" i="18"/>
  <c r="A7" i="18"/>
  <c r="C6" i="18"/>
  <c r="A6" i="18"/>
  <c r="C5" i="18"/>
  <c r="A5" i="18"/>
  <c r="C4" i="18"/>
  <c r="A4" i="18"/>
  <c r="C3" i="18"/>
  <c r="A3" i="18"/>
  <c r="C2" i="18"/>
  <c r="C147" i="8"/>
  <c r="C209" i="8"/>
  <c r="E45" i="17"/>
  <c r="M263" i="8"/>
  <c r="P3" i="8"/>
  <c r="P4" i="8"/>
  <c r="P5" i="8"/>
  <c r="P6" i="8"/>
  <c r="P7" i="8"/>
  <c r="P9" i="8"/>
  <c r="P10" i="8"/>
  <c r="P8" i="8"/>
  <c r="P11" i="8"/>
  <c r="P12" i="8"/>
  <c r="P13" i="8"/>
  <c r="P14" i="8"/>
  <c r="P15" i="8"/>
  <c r="P16" i="8"/>
  <c r="P17" i="8"/>
  <c r="P18" i="8"/>
  <c r="P20" i="8"/>
  <c r="P19" i="8"/>
  <c r="P21" i="8"/>
  <c r="P22" i="8"/>
  <c r="P23" i="8"/>
  <c r="P24" i="8"/>
  <c r="P25" i="8"/>
  <c r="P28" i="8"/>
  <c r="P26" i="8"/>
  <c r="P27" i="8"/>
  <c r="P29" i="8"/>
  <c r="P31" i="8"/>
  <c r="P30" i="8"/>
  <c r="P32" i="8"/>
  <c r="P33" i="8"/>
  <c r="P35" i="8"/>
  <c r="P34" i="8"/>
  <c r="P36" i="8"/>
  <c r="P39" i="8"/>
  <c r="P37" i="8"/>
  <c r="P38" i="8"/>
  <c r="P40" i="8"/>
  <c r="P41" i="8"/>
  <c r="P42" i="8"/>
  <c r="P43" i="8"/>
  <c r="P44" i="8"/>
  <c r="P45" i="8"/>
  <c r="P46" i="8"/>
  <c r="P47" i="8"/>
  <c r="P52" i="8"/>
  <c r="P51" i="8"/>
  <c r="P50" i="8"/>
  <c r="P48" i="8"/>
  <c r="P49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5" i="8"/>
  <c r="P84" i="8"/>
  <c r="P82" i="8"/>
  <c r="P83" i="8"/>
  <c r="P86" i="8"/>
  <c r="P100" i="8"/>
  <c r="P87" i="8"/>
  <c r="P88" i="8"/>
  <c r="P89" i="8"/>
  <c r="P90" i="8"/>
  <c r="P91" i="8"/>
  <c r="P115" i="8"/>
  <c r="P92" i="8"/>
  <c r="P93" i="8"/>
  <c r="P96" i="8"/>
  <c r="P94" i="8"/>
  <c r="P95" i="8"/>
  <c r="P97" i="8"/>
  <c r="P98" i="8"/>
  <c r="P99" i="8"/>
  <c r="P101" i="8"/>
  <c r="P102" i="8"/>
  <c r="P105" i="8"/>
  <c r="P104" i="8"/>
  <c r="P103" i="8"/>
  <c r="P106" i="8"/>
  <c r="P107" i="8"/>
  <c r="P108" i="8"/>
  <c r="P109" i="8"/>
  <c r="P110" i="8"/>
  <c r="P111" i="8"/>
  <c r="P121" i="8"/>
  <c r="P117" i="8"/>
  <c r="P112" i="8"/>
  <c r="P113" i="8"/>
  <c r="P116" i="8"/>
  <c r="P119" i="8"/>
  <c r="P120" i="8"/>
  <c r="P114" i="8"/>
  <c r="P118" i="8"/>
  <c r="P122" i="8"/>
  <c r="P123" i="8"/>
  <c r="P124" i="8"/>
  <c r="P125" i="8"/>
  <c r="P126" i="8"/>
  <c r="P128" i="8"/>
  <c r="P127" i="8"/>
  <c r="P129" i="8"/>
  <c r="P130" i="8"/>
  <c r="P131" i="8"/>
  <c r="P133" i="8"/>
  <c r="P132" i="8"/>
  <c r="P135" i="8"/>
  <c r="P136" i="8"/>
  <c r="P137" i="8"/>
  <c r="P138" i="8"/>
  <c r="P139" i="8"/>
  <c r="P140" i="8"/>
  <c r="P141" i="8"/>
  <c r="P144" i="8"/>
  <c r="P146" i="8"/>
  <c r="P143" i="8"/>
  <c r="P142" i="8"/>
  <c r="P145" i="8"/>
  <c r="P148" i="8"/>
  <c r="P149" i="8"/>
  <c r="P150" i="8"/>
  <c r="P152" i="8"/>
  <c r="P151" i="8"/>
  <c r="P153" i="8"/>
  <c r="P154" i="8"/>
  <c r="P155" i="8"/>
  <c r="P156" i="8"/>
  <c r="P157" i="8"/>
  <c r="P158" i="8"/>
  <c r="P159" i="8"/>
  <c r="P160" i="8"/>
  <c r="P162" i="8"/>
  <c r="P161" i="8"/>
  <c r="P163" i="8"/>
  <c r="P165" i="8"/>
  <c r="P164" i="8"/>
  <c r="P166" i="8"/>
  <c r="P167" i="8"/>
  <c r="P168" i="8"/>
  <c r="P169" i="8"/>
  <c r="P173" i="8"/>
  <c r="P170" i="8"/>
  <c r="P171" i="8"/>
  <c r="P172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90" i="8"/>
  <c r="P189" i="8"/>
  <c r="P188" i="8"/>
  <c r="P193" i="8"/>
  <c r="P191" i="8"/>
  <c r="P192" i="8"/>
  <c r="P194" i="8"/>
  <c r="P195" i="8"/>
  <c r="P196" i="8"/>
  <c r="P198" i="8"/>
  <c r="P197" i="8"/>
  <c r="P199" i="8"/>
  <c r="P201" i="8"/>
  <c r="P200" i="8"/>
  <c r="P202" i="8"/>
  <c r="P203" i="8"/>
  <c r="P204" i="8"/>
  <c r="P205" i="8"/>
  <c r="P206" i="8"/>
  <c r="P208" i="8"/>
  <c r="P207" i="8"/>
  <c r="P210" i="8"/>
  <c r="P211" i="8"/>
  <c r="P212" i="8"/>
  <c r="P213" i="8"/>
  <c r="P214" i="8"/>
  <c r="P217" i="8"/>
  <c r="P215" i="8"/>
  <c r="P216" i="8"/>
  <c r="P218" i="8"/>
  <c r="P219" i="8"/>
  <c r="P221" i="8"/>
  <c r="P222" i="8"/>
  <c r="P220" i="8"/>
  <c r="P223" i="8"/>
  <c r="P224" i="8"/>
  <c r="P225" i="8"/>
  <c r="P226" i="8"/>
  <c r="P227" i="8"/>
  <c r="P228" i="8"/>
  <c r="P229" i="8"/>
  <c r="P231" i="8"/>
  <c r="P230" i="8"/>
  <c r="P232" i="8"/>
  <c r="P234" i="8"/>
  <c r="P233" i="8"/>
  <c r="P235" i="8"/>
  <c r="P239" i="8"/>
  <c r="P238" i="8"/>
  <c r="P236" i="8"/>
  <c r="P237" i="8"/>
  <c r="P244" i="8"/>
  <c r="P243" i="8"/>
  <c r="P240" i="8"/>
  <c r="P242" i="8"/>
  <c r="P241" i="8"/>
  <c r="P245" i="8"/>
  <c r="P246" i="8"/>
  <c r="P247" i="8"/>
  <c r="P248" i="8"/>
  <c r="P249" i="8"/>
  <c r="P250" i="8"/>
  <c r="P252" i="8"/>
  <c r="P251" i="8"/>
  <c r="P253" i="8"/>
  <c r="P254" i="8"/>
  <c r="P255" i="8"/>
  <c r="P256" i="8"/>
  <c r="P147" i="8"/>
  <c r="P209" i="8"/>
  <c r="P257" i="8"/>
  <c r="P258" i="8"/>
  <c r="P259" i="8"/>
  <c r="P260" i="8"/>
  <c r="P261" i="8"/>
  <c r="P2" i="8"/>
  <c r="P263" i="8" s="1"/>
  <c r="N263" i="8"/>
  <c r="O263" i="8"/>
  <c r="L263" i="8"/>
  <c r="C9" i="2"/>
  <c r="C137" i="8"/>
  <c r="K55" i="11"/>
  <c r="J55" i="11"/>
  <c r="I55" i="11"/>
  <c r="K54" i="11"/>
  <c r="J54" i="11"/>
  <c r="J56" i="11" s="1"/>
  <c r="I54" i="11"/>
  <c r="I56" i="11" s="1"/>
  <c r="E46" i="17"/>
  <c r="I61" i="16"/>
  <c r="J60" i="16"/>
  <c r="J63" i="16" s="1"/>
  <c r="K60" i="16"/>
  <c r="K63" i="16" s="1"/>
  <c r="I60" i="16"/>
  <c r="I63" i="16" s="1"/>
  <c r="C10" i="2"/>
  <c r="C8" i="2"/>
  <c r="C6" i="2"/>
  <c r="C14" i="2"/>
  <c r="C16" i="2"/>
  <c r="C12" i="2"/>
  <c r="C7" i="2"/>
  <c r="C13" i="2"/>
  <c r="C15" i="2"/>
  <c r="C11" i="2"/>
  <c r="C116" i="8"/>
  <c r="C3" i="8"/>
  <c r="C4" i="8"/>
  <c r="C5" i="8"/>
  <c r="C6" i="8"/>
  <c r="C7" i="8"/>
  <c r="C9" i="8"/>
  <c r="C10" i="8"/>
  <c r="C8" i="8"/>
  <c r="C11" i="8"/>
  <c r="C12" i="8"/>
  <c r="C13" i="8"/>
  <c r="C14" i="8"/>
  <c r="C15" i="8"/>
  <c r="C16" i="8"/>
  <c r="C17" i="8"/>
  <c r="C18" i="8"/>
  <c r="C20" i="8"/>
  <c r="C19" i="8"/>
  <c r="C21" i="8"/>
  <c r="C256" i="8"/>
  <c r="C22" i="8"/>
  <c r="C23" i="8"/>
  <c r="C24" i="8"/>
  <c r="C25" i="8"/>
  <c r="C28" i="8"/>
  <c r="C26" i="8"/>
  <c r="C27" i="8"/>
  <c r="C29" i="8"/>
  <c r="C31" i="8"/>
  <c r="C30" i="8"/>
  <c r="C32" i="8"/>
  <c r="C33" i="8"/>
  <c r="C35" i="8"/>
  <c r="C34" i="8"/>
  <c r="C36" i="8"/>
  <c r="C39" i="8"/>
  <c r="C37" i="8"/>
  <c r="C38" i="8"/>
  <c r="C40" i="8"/>
  <c r="C41" i="8"/>
  <c r="C42" i="8"/>
  <c r="C43" i="8"/>
  <c r="C44" i="8"/>
  <c r="C45" i="8"/>
  <c r="C46" i="8"/>
  <c r="C47" i="8"/>
  <c r="C52" i="8"/>
  <c r="C51" i="8"/>
  <c r="C50" i="8"/>
  <c r="C48" i="8"/>
  <c r="C49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5" i="8"/>
  <c r="C84" i="8"/>
  <c r="C82" i="8"/>
  <c r="C83" i="8"/>
  <c r="C86" i="8"/>
  <c r="C100" i="8"/>
  <c r="C87" i="8"/>
  <c r="C88" i="8"/>
  <c r="C89" i="8"/>
  <c r="C90" i="8"/>
  <c r="C91" i="8"/>
  <c r="C115" i="8"/>
  <c r="C92" i="8"/>
  <c r="C93" i="8"/>
  <c r="C96" i="8"/>
  <c r="C94" i="8"/>
  <c r="C95" i="8"/>
  <c r="C97" i="8"/>
  <c r="C98" i="8"/>
  <c r="C99" i="8"/>
  <c r="C101" i="8"/>
  <c r="C102" i="8"/>
  <c r="C105" i="8"/>
  <c r="C104" i="8"/>
  <c r="C103" i="8"/>
  <c r="C106" i="8"/>
  <c r="C107" i="8"/>
  <c r="C108" i="8"/>
  <c r="C109" i="8"/>
  <c r="C110" i="8"/>
  <c r="C111" i="8"/>
  <c r="C121" i="8"/>
  <c r="C117" i="8"/>
  <c r="C112" i="8"/>
  <c r="C113" i="8"/>
  <c r="C119" i="8"/>
  <c r="C120" i="8"/>
  <c r="C114" i="8"/>
  <c r="C118" i="8"/>
  <c r="C122" i="8"/>
  <c r="C123" i="8"/>
  <c r="C124" i="8"/>
  <c r="C125" i="8"/>
  <c r="C126" i="8"/>
  <c r="C128" i="8"/>
  <c r="C127" i="8"/>
  <c r="C129" i="8"/>
  <c r="C130" i="8"/>
  <c r="C131" i="8"/>
  <c r="C132" i="8"/>
  <c r="C133" i="8"/>
  <c r="C134" i="8"/>
  <c r="C135" i="8"/>
  <c r="C136" i="8"/>
  <c r="C138" i="8"/>
  <c r="C139" i="8"/>
  <c r="C140" i="8"/>
  <c r="C141" i="8"/>
  <c r="C144" i="8"/>
  <c r="C146" i="8"/>
  <c r="C143" i="8"/>
  <c r="C142" i="8"/>
  <c r="C145" i="8"/>
  <c r="C148" i="8"/>
  <c r="C149" i="8"/>
  <c r="C150" i="8"/>
  <c r="C152" i="8"/>
  <c r="C151" i="8"/>
  <c r="C153" i="8"/>
  <c r="C154" i="8"/>
  <c r="C155" i="8"/>
  <c r="C156" i="8"/>
  <c r="C157" i="8"/>
  <c r="C158" i="8"/>
  <c r="C159" i="8"/>
  <c r="C160" i="8"/>
  <c r="C162" i="8"/>
  <c r="C161" i="8"/>
  <c r="C163" i="8"/>
  <c r="C165" i="8"/>
  <c r="C164" i="8"/>
  <c r="C166" i="8"/>
  <c r="C167" i="8"/>
  <c r="C168" i="8"/>
  <c r="C169" i="8"/>
  <c r="C173" i="8"/>
  <c r="C170" i="8"/>
  <c r="C171" i="8"/>
  <c r="C172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90" i="8"/>
  <c r="C188" i="8"/>
  <c r="C189" i="8"/>
  <c r="C191" i="8"/>
  <c r="C192" i="8"/>
  <c r="C193" i="8"/>
  <c r="C194" i="8"/>
  <c r="C195" i="8"/>
  <c r="C196" i="8"/>
  <c r="C198" i="8"/>
  <c r="C197" i="8"/>
  <c r="C199" i="8"/>
  <c r="C201" i="8"/>
  <c r="C200" i="8"/>
  <c r="C202" i="8"/>
  <c r="C203" i="8"/>
  <c r="C204" i="8"/>
  <c r="C205" i="8"/>
  <c r="C206" i="8"/>
  <c r="C208" i="8"/>
  <c r="C207" i="8"/>
  <c r="C210" i="8"/>
  <c r="C211" i="8"/>
  <c r="C212" i="8"/>
  <c r="C213" i="8"/>
  <c r="C214" i="8"/>
  <c r="C217" i="8"/>
  <c r="C215" i="8"/>
  <c r="C216" i="8"/>
  <c r="C218" i="8"/>
  <c r="C219" i="8"/>
  <c r="C221" i="8"/>
  <c r="C222" i="8"/>
  <c r="C220" i="8"/>
  <c r="C223" i="8"/>
  <c r="C224" i="8"/>
  <c r="C225" i="8"/>
  <c r="C226" i="8"/>
  <c r="C227" i="8"/>
  <c r="C228" i="8"/>
  <c r="C229" i="8"/>
  <c r="C231" i="8"/>
  <c r="C230" i="8"/>
  <c r="C232" i="8"/>
  <c r="C234" i="8"/>
  <c r="C233" i="8"/>
  <c r="C235" i="8"/>
  <c r="C239" i="8"/>
  <c r="C241" i="8"/>
  <c r="C240" i="8"/>
  <c r="C238" i="8"/>
  <c r="C236" i="8"/>
  <c r="C242" i="8"/>
  <c r="C237" i="8"/>
  <c r="C244" i="8"/>
  <c r="C243" i="8"/>
  <c r="C245" i="8"/>
  <c r="C246" i="8"/>
  <c r="C247" i="8"/>
  <c r="C248" i="8"/>
  <c r="C249" i="8"/>
  <c r="C250" i="8"/>
  <c r="C252" i="8"/>
  <c r="C251" i="8"/>
  <c r="C253" i="8"/>
  <c r="C254" i="8"/>
  <c r="C255" i="8"/>
  <c r="C2" i="8"/>
  <c r="A12" i="17" s="1"/>
  <c r="A6" i="17" l="1"/>
  <c r="A16" i="17"/>
  <c r="A31" i="16"/>
  <c r="A7" i="17"/>
  <c r="A13" i="17"/>
  <c r="E47" i="17"/>
  <c r="K56" i="11"/>
  <c r="A6" i="11"/>
  <c r="A4" i="17"/>
  <c r="A5" i="17"/>
  <c r="A8" i="17"/>
  <c r="A9" i="17"/>
  <c r="A10" i="17"/>
  <c r="A11" i="17"/>
  <c r="A22" i="16"/>
  <c r="A21" i="16"/>
  <c r="A20" i="16"/>
  <c r="A19" i="16"/>
  <c r="A18" i="16"/>
  <c r="A17" i="16"/>
  <c r="A16" i="16"/>
  <c r="A15" i="16"/>
  <c r="A14" i="16"/>
  <c r="A13" i="16"/>
  <c r="A5" i="16"/>
  <c r="A3" i="17"/>
  <c r="A2" i="17"/>
  <c r="A3" i="11"/>
  <c r="A4" i="11"/>
  <c r="A5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2" i="11"/>
  <c r="A3" i="16"/>
  <c r="A4" i="16"/>
  <c r="A6" i="16"/>
  <c r="A7" i="16"/>
  <c r="A8" i="16"/>
  <c r="A9" i="16"/>
  <c r="A10" i="16"/>
  <c r="A11" i="16"/>
  <c r="A12" i="16"/>
  <c r="A2" i="16"/>
  <c r="C17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<sst xmlns="http://schemas.openxmlformats.org/spreadsheetml/2006/main" count="5878" uniqueCount="1502">
  <si>
    <t>John Dickens</t>
  </si>
  <si>
    <t>jcdickens@talktalk.net</t>
  </si>
  <si>
    <t>Chairman</t>
  </si>
  <si>
    <t xml:space="preserve">Penny Kielty </t>
  </si>
  <si>
    <t>penny.kielty@hotmail.co.uk</t>
  </si>
  <si>
    <t>Secretary</t>
  </si>
  <si>
    <t>Debbie Cousens</t>
  </si>
  <si>
    <t>debbie.cousens.dc@gmail.com</t>
  </si>
  <si>
    <t>Treasurer</t>
  </si>
  <si>
    <t>Committee</t>
  </si>
  <si>
    <t>Email</t>
  </si>
  <si>
    <t>Facebook</t>
  </si>
  <si>
    <t>Fees</t>
  </si>
  <si>
    <t>FR&amp;FM</t>
  </si>
  <si>
    <t>Leaflet</t>
  </si>
  <si>
    <t>NextDoor</t>
  </si>
  <si>
    <t>NHW</t>
  </si>
  <si>
    <t>PayPal</t>
  </si>
  <si>
    <t>Sign Up Sheet</t>
  </si>
  <si>
    <t>Website</t>
  </si>
  <si>
    <t>Total</t>
  </si>
  <si>
    <t>22nd Feb Meeting</t>
  </si>
  <si>
    <t>54 - First Meeting</t>
  </si>
  <si>
    <t>14th June Meeting</t>
  </si>
  <si>
    <t>100 - Lincoln Jopp / Planning Spaces</t>
  </si>
  <si>
    <t>27th Sept Meeting</t>
  </si>
  <si>
    <t>130 - HMO Meeting</t>
  </si>
  <si>
    <t>24th Jan Meeting</t>
  </si>
  <si>
    <t>84 -  Police Commissioner</t>
  </si>
  <si>
    <t xml:space="preserve">25th April Meeting </t>
  </si>
  <si>
    <t>67 Scams / Healthwatch/Fire Brigade</t>
  </si>
  <si>
    <t>Membership 
Number</t>
  </si>
  <si>
    <t>Date</t>
  </si>
  <si>
    <t>Name</t>
  </si>
  <si>
    <t>Type</t>
  </si>
  <si>
    <t>Currency</t>
  </si>
  <si>
    <t>27/09/2025</t>
  </si>
  <si>
    <t>Carol Kielty</t>
  </si>
  <si>
    <t>Membership Fee</t>
  </si>
  <si>
    <t>John Kielty</t>
  </si>
  <si>
    <t>Stacy Rielly</t>
  </si>
  <si>
    <t>Jean Parry</t>
  </si>
  <si>
    <t>Janet O'Brien</t>
  </si>
  <si>
    <t>Jane Whiting</t>
  </si>
  <si>
    <t>19/11/2025</t>
  </si>
  <si>
    <t>Linda Foster</t>
  </si>
  <si>
    <t>26/11/2025</t>
  </si>
  <si>
    <t>Rita Robinson</t>
  </si>
  <si>
    <t>Sheila O'Donovan</t>
  </si>
  <si>
    <t>Martin Matthews</t>
  </si>
  <si>
    <t>Irene Brien</t>
  </si>
  <si>
    <t>Donation</t>
  </si>
  <si>
    <t>John &amp; Angela Burns</t>
  </si>
  <si>
    <t>Dennis &amp; Joan Leeks</t>
  </si>
  <si>
    <t>Charlotte Pope</t>
  </si>
  <si>
    <t>Shyam Petrovini</t>
  </si>
  <si>
    <t>Christine Lloyd</t>
  </si>
  <si>
    <t>Peter Davies</t>
  </si>
  <si>
    <t>Linda Neville</t>
  </si>
  <si>
    <t>Margery Hopkins</t>
  </si>
  <si>
    <t>Mary Freeth</t>
  </si>
  <si>
    <t>June Rubley</t>
  </si>
  <si>
    <t>24/01/2026</t>
  </si>
  <si>
    <t>Susan McGee</t>
  </si>
  <si>
    <t>Nick Cooper</t>
  </si>
  <si>
    <t>Allesandro Benedetto</t>
  </si>
  <si>
    <t>Tony Perez</t>
  </si>
  <si>
    <t>David Wright</t>
  </si>
  <si>
    <t>25/4/2026</t>
  </si>
  <si>
    <t>Jackie &amp; Les Brown</t>
  </si>
  <si>
    <t>Cathy &amp; Gary Waters</t>
  </si>
  <si>
    <t>Annie Sugrue</t>
  </si>
  <si>
    <t>Sarah Wrightson</t>
  </si>
  <si>
    <t>Debbie Brown</t>
  </si>
  <si>
    <t>Pat Jeffcott</t>
  </si>
  <si>
    <t>Aash Engineer</t>
  </si>
  <si>
    <t>Satpal Thethy</t>
  </si>
  <si>
    <t>Gross</t>
  </si>
  <si>
    <t>Membership Fees</t>
  </si>
  <si>
    <t>Donations</t>
  </si>
  <si>
    <t>Time</t>
  </si>
  <si>
    <t>Time zone</t>
  </si>
  <si>
    <t>Status</t>
  </si>
  <si>
    <t>Fee</t>
  </si>
  <si>
    <t>Net</t>
  </si>
  <si>
    <t>From Email Address</t>
  </si>
  <si>
    <t>To Email Address</t>
  </si>
  <si>
    <t>Transaction ID</t>
  </si>
  <si>
    <t>Shipping Address</t>
  </si>
  <si>
    <t>Address Status</t>
  </si>
  <si>
    <t>Item Title</t>
  </si>
  <si>
    <t>Item ID</t>
  </si>
  <si>
    <t>Postage and Packaging Amount</t>
  </si>
  <si>
    <t>Insurance Amount</t>
  </si>
  <si>
    <t>VAT</t>
  </si>
  <si>
    <t>Option 1 Name</t>
  </si>
  <si>
    <t>Option 1 Value</t>
  </si>
  <si>
    <t>Option 2 Name</t>
  </si>
  <si>
    <t>Option 2 Value</t>
  </si>
  <si>
    <t>Reference Txn ID</t>
  </si>
  <si>
    <t>Invoice Number</t>
  </si>
  <si>
    <t>Custom Number</t>
  </si>
  <si>
    <t>Quantity</t>
  </si>
  <si>
    <t>Receipt ID</t>
  </si>
  <si>
    <t>Balance</t>
  </si>
  <si>
    <t>Address Line 1</t>
  </si>
  <si>
    <t>Address Line 2/District/Neighbourhood</t>
  </si>
  <si>
    <t>Town/City</t>
  </si>
  <si>
    <t>County</t>
  </si>
  <si>
    <t>Postcode</t>
  </si>
  <si>
    <t>Country</t>
  </si>
  <si>
    <t>Contact Phone Number</t>
  </si>
  <si>
    <t>Subject</t>
  </si>
  <si>
    <t>Note</t>
  </si>
  <si>
    <t>Country Code</t>
  </si>
  <si>
    <t>Balance Impact</t>
  </si>
  <si>
    <t>20/10/2025</t>
  </si>
  <si>
    <t>BST</t>
  </si>
  <si>
    <t>Penny Kielty</t>
  </si>
  <si>
    <t>Completed</t>
  </si>
  <si>
    <t>GBP</t>
  </si>
  <si>
    <t>pkielty@cisco.com</t>
  </si>
  <si>
    <t>treasurer@ashfordra.co.uk</t>
  </si>
  <si>
    <t>9FA30462F69560808</t>
  </si>
  <si>
    <t>Penny, Kielty, 14 Brownrigg Road, Ashford, Surrey, TW15 2TL, United Kingdom</t>
  </si>
  <si>
    <t>Confirmed</t>
  </si>
  <si>
    <t>Ashford Residents Association</t>
  </si>
  <si>
    <t>14 Brownrigg Road</t>
  </si>
  <si>
    <t>Ashford</t>
  </si>
  <si>
    <t>Surrey</t>
  </si>
  <si>
    <t>TW15 2TL</t>
  </si>
  <si>
    <t>United Kingdom</t>
  </si>
  <si>
    <t>treasurer@ashfordra.co.uk  Ashford Residents Association TW15</t>
  </si>
  <si>
    <t>GB</t>
  </si>
  <si>
    <t>Credit</t>
  </si>
  <si>
    <t>27/10/2025</t>
  </si>
  <si>
    <t>GMT</t>
  </si>
  <si>
    <t>0S346664UW194522E</t>
  </si>
  <si>
    <t>Cara Mackley</t>
  </si>
  <si>
    <t>caramackley@icloud.com</t>
  </si>
  <si>
    <t>3JT00745UH3469434</t>
  </si>
  <si>
    <t>Cara Mackley, 51, Chesterfield Road, Ashford, Surrey, TW15 2NE, United Kingdom</t>
  </si>
  <si>
    <t>Chesterfield Road</t>
  </si>
  <si>
    <t>TW15 2NE</t>
  </si>
  <si>
    <t>17S70426WB198372D</t>
  </si>
  <si>
    <t>Penny test to treasurer@ashfordra.  co.  uk £1</t>
  </si>
  <si>
    <t>65M35095AF569711X</t>
  </si>
  <si>
    <t>Penny Test PAYPAL email</t>
  </si>
  <si>
    <t>7JN969183R571572C</t>
  </si>
  <si>
    <t>Ashford Residents Association Membership</t>
  </si>
  <si>
    <t>treasurer@ashfordra.co.uk Household Membership Fee Payment Link Ashford Residents Association (ARA TW15)</t>
  </si>
  <si>
    <t>5EY42286AL899450S</t>
  </si>
  <si>
    <t>Ashford Residents Association Donation</t>
  </si>
  <si>
    <t>We would love to say thank you - Please leave your comments and</t>
  </si>
  <si>
    <t>Penny test donation</t>
  </si>
  <si>
    <t>treasurer@ashfordra.co.uk Donations Payment Link Ashford Residents Association (ARA TW15)</t>
  </si>
  <si>
    <t>13/11/2025</t>
  </si>
  <si>
    <t>Kevin Wise</t>
  </si>
  <si>
    <t>kp_wise@hotmail.com</t>
  </si>
  <si>
    <t>0UA61825XW803534N</t>
  </si>
  <si>
    <t>Kevin, Wise, 15 Meadow Road, Ashford, Middlesex, TW15 1PL, United Kingdom</t>
  </si>
  <si>
    <t>15 Meadow Road</t>
  </si>
  <si>
    <t>Middlesex</t>
  </si>
  <si>
    <t>TW15 1PL</t>
  </si>
  <si>
    <t>15/11/2025</t>
  </si>
  <si>
    <t>16W55236SV035011N</t>
  </si>
  <si>
    <t>Test new link Penny</t>
  </si>
  <si>
    <t>9M784616CB539194V</t>
  </si>
  <si>
    <t>1XG21341VH038212B</t>
  </si>
  <si>
    <t>Another test PayPal</t>
  </si>
  <si>
    <t>23/11/2025</t>
  </si>
  <si>
    <t>Ursula Wnuk</t>
  </si>
  <si>
    <t>uhill@hotmail.com</t>
  </si>
  <si>
    <t>56758645TS4909520</t>
  </si>
  <si>
    <t>Ursula, Wnuk, 100 Village Way, ASHFORD, Middlesex, TW15 2JU, United Kingdom</t>
  </si>
  <si>
    <t>Unconfirmed</t>
  </si>
  <si>
    <t>100 Village Way</t>
  </si>
  <si>
    <t>ASHFORD</t>
  </si>
  <si>
    <t>TW15 2JU</t>
  </si>
  <si>
    <t>Mary Sansom</t>
  </si>
  <si>
    <t>maryebay3349@gmail.com</t>
  </si>
  <si>
    <t>7VF96625N1572241Y</t>
  </si>
  <si>
    <t>Mary, Sansom, 33 Fontmell park, Ashford, Middlesex, TW152NP, United Kingdom</t>
  </si>
  <si>
    <t>33 Fontmell park</t>
  </si>
  <si>
    <t>TW152NP</t>
  </si>
  <si>
    <t>from : Mary Sansom.   33 Fontmell Park.   Ashford.   TW15 2NP</t>
  </si>
  <si>
    <t>Kay Hennah</t>
  </si>
  <si>
    <t>kay.hennah@talktalk.net</t>
  </si>
  <si>
    <t>7SE61644J81128054</t>
  </si>
  <si>
    <t>Kay, Hennah, 1 Dorset Road, Ashford, MIDDLESEX, TW15 3BZ, United Kingdom</t>
  </si>
  <si>
    <t>1 Dorset Road</t>
  </si>
  <si>
    <t>MIDDLESEX</t>
  </si>
  <si>
    <t>TW15 3BZ</t>
  </si>
  <si>
    <t>24/11/2025</t>
  </si>
  <si>
    <t>John Swaffield</t>
  </si>
  <si>
    <t>swaffield@btinternet.com</t>
  </si>
  <si>
    <t>0D944531WX6483406</t>
  </si>
  <si>
    <t>john, swaffield, 51 stanwell rd, ashford, Middlesex, TW15 3EH, United Kingdom</t>
  </si>
  <si>
    <t>51 stanwell rd</t>
  </si>
  <si>
    <t>ashford</t>
  </si>
  <si>
    <t>TW15 3EH</t>
  </si>
  <si>
    <t>Ann Robinson</t>
  </si>
  <si>
    <t>schezanne@talktalk.net</t>
  </si>
  <si>
    <t>48G58287XB312014G</t>
  </si>
  <si>
    <t>Ann, Robinson, 88 Ashgrove Road, Ashford, ENGLAND, TW15 1PD, United Kingdom</t>
  </si>
  <si>
    <t>88 Ashgrove Road</t>
  </si>
  <si>
    <t>ENGLAND</t>
  </si>
  <si>
    <t>TW15 1PD</t>
  </si>
  <si>
    <t>Nicola Streeter</t>
  </si>
  <si>
    <t>ickle_nik@yahoo.com</t>
  </si>
  <si>
    <t>5W005233BG395183J</t>
  </si>
  <si>
    <t>Nicola, Streeter, 11 Chester Close, Ashford, MIDDLESEX, TW15 1PH, United Kingdom</t>
  </si>
  <si>
    <t>11 Chester Close</t>
  </si>
  <si>
    <t>TW15 1PH</t>
  </si>
  <si>
    <t>Paul Cousens</t>
  </si>
  <si>
    <t>pcousens@sky.com</t>
  </si>
  <si>
    <t>5S343755KP074482S</t>
  </si>
  <si>
    <t>Paul, Cousens, 64 Gordon Road, Ashford, MIDDLESEX, TW15 3EU, United Kingdom</t>
  </si>
  <si>
    <t>64 Gordon Road</t>
  </si>
  <si>
    <t>TW15 3EU</t>
  </si>
  <si>
    <t>Melanie Hughes</t>
  </si>
  <si>
    <t>meljane224@yahoo.co.uk</t>
  </si>
  <si>
    <t>6924827091372325E</t>
  </si>
  <si>
    <t>melanie, hughes, Pippin Cottage 7, chesterfield road, ASHFORD, TW15 2NB, United Kingdom</t>
  </si>
  <si>
    <t>Pippin Cottage 7</t>
  </si>
  <si>
    <t>chesterfield road</t>
  </si>
  <si>
    <t>TW15 2NB</t>
  </si>
  <si>
    <t>I'm so sorry it's taken so long to pay, I completely forgot.</t>
  </si>
  <si>
    <t>Nabila Ritchie</t>
  </si>
  <si>
    <t>nabila_ritchie@hotmail.com</t>
  </si>
  <si>
    <t>6NU79871HE9237224</t>
  </si>
  <si>
    <t>Nabila, Ritchie, 154B Feltham Rd, Ashford, MIDDLESEX, TW15 1AD, United Kingdom</t>
  </si>
  <si>
    <t>154B Feltham Rd</t>
  </si>
  <si>
    <t>TW15 1AD</t>
  </si>
  <si>
    <t>My apologies - did not realise there was a fee to pay.</t>
  </si>
  <si>
    <t>David Lee</t>
  </si>
  <si>
    <t>madlee01@yahoo.co.uk</t>
  </si>
  <si>
    <t>8MH14668DS404573C</t>
  </si>
  <si>
    <t>David, Lee, 12 Gordon Rd, Ashford, Middlesex, TW15 3EU, United Kingdom</t>
  </si>
  <si>
    <t>12 Gordon Rd</t>
  </si>
  <si>
    <t>Subscription from David Lee 12 Gordon Road Ashford TW15 3EU</t>
  </si>
  <si>
    <t>25/11/2025</t>
  </si>
  <si>
    <t>Kathleen Marshall</t>
  </si>
  <si>
    <t>kmarshall1945@talktalk.net</t>
  </si>
  <si>
    <t>2K868097UH169184Y</t>
  </si>
  <si>
    <t>Kathleen, Marshall, 53 Feltham Road, Ashford, MIDDLESEX, TW15 1DQ, United Kingdom</t>
  </si>
  <si>
    <t>29/11/2025</t>
  </si>
  <si>
    <t>penny.kielty@gmail.com</t>
  </si>
  <si>
    <t>4VB7239908061024V</t>
  </si>
  <si>
    <t>Penny, Kielty, 14 Brownrigg Road, Ashford, MIDDLESEX, TW15 2TL, United Kingdom</t>
  </si>
  <si>
    <t>13V267241G346970D</t>
  </si>
  <si>
    <t>3XM945832L408781J</t>
  </si>
  <si>
    <t>30/11/2025</t>
  </si>
  <si>
    <t>Linda Lawrie</t>
  </si>
  <si>
    <t>lindajslawrie@sky.com</t>
  </si>
  <si>
    <t>0XP97871BJ5348128</t>
  </si>
  <si>
    <t>Linda, Lawrie, 2 Grays Lane, Ashford, SURREY, TW15 1BY, United Kingdom</t>
  </si>
  <si>
    <t>david collis</t>
  </si>
  <si>
    <t>Collid2@virginmedia.com</t>
  </si>
  <si>
    <t>74S177940L0887909</t>
  </si>
  <si>
    <t>david, collis, 60 CHAUCER RD, ASHFORD, Middlesex, TW152QX, United Kingdom</t>
  </si>
  <si>
    <t>ANDREW WILLIAMS</t>
  </si>
  <si>
    <t>andywilliams290@hotmail.com</t>
  </si>
  <si>
    <t>4SL368895D821570B</t>
  </si>
  <si>
    <t>ANDREW, WILLIAMS, 30, ASHGROVE RD, ASHFORD, Middlesex, TW151NU, United Kingdom</t>
  </si>
  <si>
    <t>Panagiota Mavrigiannaki</t>
  </si>
  <si>
    <t>foxoriginal@hotmail.com</t>
  </si>
  <si>
    <t>3CE45314V4630344J</t>
  </si>
  <si>
    <t>Panagiota, Mavrigiannaki, 35 Fernhurst Road, Ashford, SURREY, TW15 1AQ, United Kingdom</t>
  </si>
  <si>
    <t>35 Fernhurst Road</t>
  </si>
  <si>
    <t>SURREY</t>
  </si>
  <si>
    <t>TW15 1AQ</t>
  </si>
  <si>
    <t>Mike Keegan</t>
  </si>
  <si>
    <t>keeganuk07@outlook.com</t>
  </si>
  <si>
    <t>5KC436944T7466519</t>
  </si>
  <si>
    <t>Mike, Keegan, 8 Mornington Road, Ashford, Middlesex, tw151nw, United Kingdom</t>
  </si>
  <si>
    <t>8 Mornington Road</t>
  </si>
  <si>
    <t>tw151nw</t>
  </si>
  <si>
    <t>Neeraj Wadhwa</t>
  </si>
  <si>
    <t>Wadhwaneeraj20@gmail.com</t>
  </si>
  <si>
    <t>87S90373P3746883D</t>
  </si>
  <si>
    <t>Neeraj, Wadhwa, 13 pear Tree Road, Ashford, TW151PW, United Kingdom</t>
  </si>
  <si>
    <t>13 pear Tree Road</t>
  </si>
  <si>
    <t>TW151PW</t>
  </si>
  <si>
    <t>Ashford residents association memebership - Neeraj W</t>
  </si>
  <si>
    <t>Sonjoy Premi</t>
  </si>
  <si>
    <t>sonjoy@future-computing.co.uk</t>
  </si>
  <si>
    <t>67Y637071G864100C</t>
  </si>
  <si>
    <t>Sonjoy, Premi, 70 village way, ashford, Middlesex, tw152lb, United Kingdom</t>
  </si>
  <si>
    <t>70 village way</t>
  </si>
  <si>
    <t>tw152lb</t>
  </si>
  <si>
    <t>Hello, sending you Ashford RA annual membership payment of £5 for 70 Village Way.   Our names are Dr Sonjoy Kumar Premi and Mrs Sunanda Premi</t>
  </si>
  <si>
    <t>Christopher Salomons</t>
  </si>
  <si>
    <t>c_salomons@hotmail.com</t>
  </si>
  <si>
    <t>5TK20869EL039160X</t>
  </si>
  <si>
    <t>Salomons - 25 Coleridge Road</t>
  </si>
  <si>
    <t>Andrew Lewis</t>
  </si>
  <si>
    <t>denandlewis@gmail.com</t>
  </si>
  <si>
    <t>68K53291NF592714T</t>
  </si>
  <si>
    <t>Andrew, Lewis, 4 Ford Close, Ashford, MIDDLESEX, TW15 3SB, United Kingdom</t>
  </si>
  <si>
    <t>4 Ford Close</t>
  </si>
  <si>
    <t>TW15 3SB</t>
  </si>
  <si>
    <t>Christine Wooster</t>
  </si>
  <si>
    <t>chris.wooster@btinternet.com</t>
  </si>
  <si>
    <t>7YC26019J30397259</t>
  </si>
  <si>
    <t>Christine, Wooster, 19 Percy Avenue, Ashford, Middlesex, TW15 2PB, United Kingdom</t>
  </si>
  <si>
    <t>19 Percy Avenue</t>
  </si>
  <si>
    <t>TW15 2PB</t>
  </si>
  <si>
    <t>Chris Wooster 19 Percy Avenue</t>
  </si>
  <si>
    <t>Phil Henley</t>
  </si>
  <si>
    <t>peehen@talk21.com</t>
  </si>
  <si>
    <t>4XT868374X091515J</t>
  </si>
  <si>
    <t>Phil, Henley, 62 Village Way, Ashford, TW152LB, United Kingdom</t>
  </si>
  <si>
    <t>62 Village Way</t>
  </si>
  <si>
    <t>TW152LB</t>
  </si>
  <si>
    <t>John Wasley</t>
  </si>
  <si>
    <t>jwasley408@googlemail.com</t>
  </si>
  <si>
    <t>9AX045092W1534719</t>
  </si>
  <si>
    <t>John, Wasley, 86 Chesterfield Road, Ashford, Ashford, MIDDLESEX, TW152ND, United Kingdom</t>
  </si>
  <si>
    <t>86 Chesterfield Road</t>
  </si>
  <si>
    <t>TW152ND</t>
  </si>
  <si>
    <t>28/12/2025</t>
  </si>
  <si>
    <t>Jenny Frost</t>
  </si>
  <si>
    <t>jenny@lomas.uk</t>
  </si>
  <si>
    <t>7Y2043700L147973W</t>
  </si>
  <si>
    <t>Jenny Frost, 45 Clarendon Road, Ashford, England, TW15 2QA, United Kingdom</t>
  </si>
  <si>
    <t>45 Clarendon Road</t>
  </si>
  <si>
    <t>England</t>
  </si>
  <si>
    <t>TW15 2QA</t>
  </si>
  <si>
    <t>Anita Mckenzie</t>
  </si>
  <si>
    <t>greouxaquae@icloud.com</t>
  </si>
  <si>
    <t>0AT912558C4448545</t>
  </si>
  <si>
    <t>Anita, Mckenzie, 39 Manor Roaf, Ashford, Ashford, MIDDLESEX, TW15 2SL, United Kingdom</t>
  </si>
  <si>
    <t>39 Manor Road</t>
  </si>
  <si>
    <t>TW15 2SL</t>
  </si>
  <si>
    <t>Tracy Brown</t>
  </si>
  <si>
    <t>tracy.j.brown@talk21.com</t>
  </si>
  <si>
    <t>0LC96835YT974583V</t>
  </si>
  <si>
    <t>Tracy, Brown, 41 Station Crescent, Ashford, Middlesex, TW15 3HX, United Kingdom</t>
  </si>
  <si>
    <t>41 Station Crescent</t>
  </si>
  <si>
    <t>TW15 3HX</t>
  </si>
  <si>
    <t>Membership fee Martyn Brown</t>
  </si>
  <si>
    <t>25/01/2026</t>
  </si>
  <si>
    <t>Julie Holman</t>
  </si>
  <si>
    <t>julesaholman@gmail.com</t>
  </si>
  <si>
    <t>4A632793590490741</t>
  </si>
  <si>
    <t>Julie, Holman, 30 Rex Ave, Ashford, TW15 2DA, United Kingdom</t>
  </si>
  <si>
    <t>30 Rex Ave</t>
  </si>
  <si>
    <t>TW15 2DA</t>
  </si>
  <si>
    <t>16/02/2026</t>
  </si>
  <si>
    <t>Clare Sabiston</t>
  </si>
  <si>
    <t>clareclareclares@gmail.com</t>
  </si>
  <si>
    <t>6L40807294800393T</t>
  </si>
  <si>
    <t>Clare Sabiston, 26A Church Road, Ashford, Spelthorne, England, TW15 2UY, United Kingdom</t>
  </si>
  <si>
    <t>26A Church Road</t>
  </si>
  <si>
    <t>Spelthorne</t>
  </si>
  <si>
    <t>TW15 2UY</t>
  </si>
  <si>
    <t>17/02/2026</t>
  </si>
  <si>
    <t>David Speakman</t>
  </si>
  <si>
    <t>matthewspeakman712@gmail.com</t>
  </si>
  <si>
    <t>1XY30617CU647632R</t>
  </si>
  <si>
    <t>David, Speakman, 205, Feltham Road, Ashford, MIDDLESEX, TW15 1BB, United Kingdom</t>
  </si>
  <si>
    <t>Feltham Road</t>
  </si>
  <si>
    <t>TW15 1BB</t>
  </si>
  <si>
    <t>18/02/2026</t>
  </si>
  <si>
    <t>Val Clark</t>
  </si>
  <si>
    <t>clarkvandm@yahoo.co.uk</t>
  </si>
  <si>
    <t>2JT64886EM413402L</t>
  </si>
  <si>
    <t>Val, Clark, 12 Ferndale Road, Ashford, MIDDLESEX, TW15 3PJ, United Kingdom</t>
  </si>
  <si>
    <t>12 Ferndale Road</t>
  </si>
  <si>
    <t>TW15 3PJ</t>
  </si>
  <si>
    <t>21/03/2026</t>
  </si>
  <si>
    <t>Susan Goddard</t>
  </si>
  <si>
    <t>sue.goddard14@outlook.com</t>
  </si>
  <si>
    <t>8R980226LF605935P</t>
  </si>
  <si>
    <t>Sue Goddard, 27 Doris Road, Ashford, TW15 1LS, United Kingdom</t>
  </si>
  <si>
    <t>27 Doris Road</t>
  </si>
  <si>
    <t>TW15 1LS</t>
  </si>
  <si>
    <t>treasurer@ashfordra.co.uk
Household Membership Fee Payment Link
Ashford Residents Association (ARA TW15)</t>
  </si>
  <si>
    <t>barry muggeridge</t>
  </si>
  <si>
    <t>barrylandrover@yahoo.com</t>
  </si>
  <si>
    <t>23M94648CC9579843</t>
  </si>
  <si>
    <t>barry, muggeridge, 41 Chattern Road, Ashford, Middlesex, TW15 1AE, United Kingdom</t>
  </si>
  <si>
    <t>41 Chattern Road</t>
  </si>
  <si>
    <t>TW15 1AE</t>
  </si>
  <si>
    <t>roisin mackey</t>
  </si>
  <si>
    <t>roisin49b@aol.com</t>
  </si>
  <si>
    <t>3VH09413SY900254J</t>
  </si>
  <si>
    <t>roisin kennedy, 61 Gilmore Crescent, Ashford, Middlesex, TW152DD, United Kingdom</t>
  </si>
  <si>
    <t>61 Gilmore Crescent</t>
  </si>
  <si>
    <t>TW152DD</t>
  </si>
  <si>
    <t>23/03/2026</t>
  </si>
  <si>
    <t>JEANNETTE BROWN</t>
  </si>
  <si>
    <t>nettebrown57@gmail.com</t>
  </si>
  <si>
    <t>1FV85835RE1720818</t>
  </si>
  <si>
    <t>JEANNETTE, BROWN, 15 DANE ROAD, Ashford, Ashford, MIDDLESEX, TW15 1QJ, United Kingdom</t>
  </si>
  <si>
    <t>We would love to say thank you - Please leave your comments and details here.</t>
  </si>
  <si>
    <t>Jeannette Brown. member since Sept 2025. This is a donation. I think for your time spent freely, specific updates you send us, £5 m'ship is too low. I think£12=£1 pm is affordable to most. Thank yo</t>
  </si>
  <si>
    <t>15 DANE ROAD, Ashford</t>
  </si>
  <si>
    <t>TW15 1QJ</t>
  </si>
  <si>
    <t>treasurer@ashfordra.co.uk
Donations Payment Link
Ashford Residents Association (ARA TW15)</t>
  </si>
  <si>
    <t>28/03/2026</t>
  </si>
  <si>
    <t>Transfer to MetroBank</t>
  </si>
  <si>
    <t>90G34723YR350341U</t>
  </si>
  <si>
    <t>Debit</t>
  </si>
  <si>
    <t>30/03/2026</t>
  </si>
  <si>
    <t>36415573KW767124Y</t>
  </si>
  <si>
    <t>Transfer to Bank</t>
  </si>
  <si>
    <t>Members No</t>
  </si>
  <si>
    <t>Full Name</t>
  </si>
  <si>
    <t>First Name</t>
  </si>
  <si>
    <t>Surname</t>
  </si>
  <si>
    <t>Road Name</t>
  </si>
  <si>
    <t>Email Address</t>
  </si>
  <si>
    <t>Sent 
Welcome</t>
  </si>
  <si>
    <t>Member 
Sign Up</t>
  </si>
  <si>
    <t>25/26 Membership 
Date Paid</t>
  </si>
  <si>
    <t>26/27 Membership Date Paid</t>
  </si>
  <si>
    <t>Membership 
Fee</t>
  </si>
  <si>
    <t>Notes</t>
  </si>
  <si>
    <t>Renewal Date</t>
  </si>
  <si>
    <t>Margaret</t>
  </si>
  <si>
    <t>Robinson</t>
  </si>
  <si>
    <t>Village Way</t>
  </si>
  <si>
    <t>Y</t>
  </si>
  <si>
    <t>Tessa</t>
  </si>
  <si>
    <t>Whitehorn</t>
  </si>
  <si>
    <t>tessaclare182@googlemail.com</t>
  </si>
  <si>
    <t>John</t>
  </si>
  <si>
    <t>Dickens</t>
  </si>
  <si>
    <t>TW15 2ND</t>
  </si>
  <si>
    <t>27/3/26</t>
  </si>
  <si>
    <t>Committee Chairman</t>
  </si>
  <si>
    <t>Penny</t>
  </si>
  <si>
    <t>Kielty</t>
  </si>
  <si>
    <t>Brownrigg Road</t>
  </si>
  <si>
    <t>21/3/26</t>
  </si>
  <si>
    <t>Offset Exp</t>
  </si>
  <si>
    <t>Committee Secretary</t>
  </si>
  <si>
    <t>Julie</t>
  </si>
  <si>
    <t>Holman</t>
  </si>
  <si>
    <t>Rex Avenue</t>
  </si>
  <si>
    <t>20/4/2026</t>
  </si>
  <si>
    <t>Committee Panel</t>
  </si>
  <si>
    <t>Andrew</t>
  </si>
  <si>
    <t>Lewis</t>
  </si>
  <si>
    <t>Ford Close</t>
  </si>
  <si>
    <t>and_lewis@btinternet.com</t>
  </si>
  <si>
    <t>Anne</t>
  </si>
  <si>
    <t>Crudgington</t>
  </si>
  <si>
    <t>Parkland Grove</t>
  </si>
  <si>
    <t>TW15 2JW</t>
  </si>
  <si>
    <t xml:space="preserve">annecrudgington@yahoo.com </t>
  </si>
  <si>
    <t>Paid by Maureen Crudgington (Metro bank)</t>
  </si>
  <si>
    <t>Bob</t>
  </si>
  <si>
    <t>Baldry</t>
  </si>
  <si>
    <t>TW15 2JN</t>
  </si>
  <si>
    <t>bobbaldry@hotmail.com</t>
  </si>
  <si>
    <t>Family membership with SUE BLAND/paid by Sue</t>
  </si>
  <si>
    <t>Carol</t>
  </si>
  <si>
    <t>Exforde Avenue</t>
  </si>
  <si>
    <t>TW15 2EF</t>
  </si>
  <si>
    <t>jim.kielty@btinternet.com</t>
  </si>
  <si>
    <t>Cash</t>
  </si>
  <si>
    <t>Cash to Penny who then paid by Bank Transfer</t>
  </si>
  <si>
    <t>Wooley</t>
  </si>
  <si>
    <t>Dorset Road</t>
  </si>
  <si>
    <t>TW15 3BY</t>
  </si>
  <si>
    <t>k.e.woolley@btinternet.com</t>
  </si>
  <si>
    <t>Carole</t>
  </si>
  <si>
    <t>Baxter</t>
  </si>
  <si>
    <t>Manor Road</t>
  </si>
  <si>
    <t>cdandab23@gmail.com</t>
  </si>
  <si>
    <t>Caroline</t>
  </si>
  <si>
    <t>Shannon</t>
  </si>
  <si>
    <t>shannon.caroline@btinternet.com</t>
  </si>
  <si>
    <t>Christine</t>
  </si>
  <si>
    <t>Lloyd</t>
  </si>
  <si>
    <t>Gordon Road</t>
  </si>
  <si>
    <t>TW15 3ES</t>
  </si>
  <si>
    <t>c.lloyd01@btinternet.com</t>
  </si>
  <si>
    <t>Wooster</t>
  </si>
  <si>
    <t>Percy Avenue</t>
  </si>
  <si>
    <t>Paid again 10/12/25  - hold for 2026 fee</t>
  </si>
  <si>
    <t>David &amp; Tracey</t>
  </si>
  <si>
    <t>Outhwaite</t>
  </si>
  <si>
    <t>TW15 3JH</t>
  </si>
  <si>
    <t>davidouthwaite@hotmail.com</t>
  </si>
  <si>
    <t>David</t>
  </si>
  <si>
    <t>Lee</t>
  </si>
  <si>
    <t>Small</t>
  </si>
  <si>
    <t>The Wickets</t>
  </si>
  <si>
    <t>TW15 2RR</t>
  </si>
  <si>
    <t>davidjsmall@btinternet.com</t>
  </si>
  <si>
    <t>Dennis &amp; Joan</t>
  </si>
  <si>
    <t>Leeks</t>
  </si>
  <si>
    <t>dandjLeeks@btinternet.com</t>
  </si>
  <si>
    <t>Frank &amp; Laura</t>
  </si>
  <si>
    <t>Greaves</t>
  </si>
  <si>
    <t>TW15 3JU</t>
  </si>
  <si>
    <t>fandlgreaves@gmail.com</t>
  </si>
  <si>
    <t>Geoffrey</t>
  </si>
  <si>
    <t>Rippingale</t>
  </si>
  <si>
    <t>TW15 2SN</t>
  </si>
  <si>
    <t>gripp@btinternet.com</t>
  </si>
  <si>
    <t>Greg</t>
  </si>
  <si>
    <t>Neall</t>
  </si>
  <si>
    <t>Doris Road</t>
  </si>
  <si>
    <t>TW15 1LR</t>
  </si>
  <si>
    <t>greg@wakeupyourwealth.com</t>
  </si>
  <si>
    <t>Councillor - no payment required</t>
  </si>
  <si>
    <t>Helen</t>
  </si>
  <si>
    <t>Collis</t>
  </si>
  <si>
    <t>Chaucer Road</t>
  </si>
  <si>
    <t>TW15 2QX</t>
  </si>
  <si>
    <t>collid2@virginmedia.com</t>
  </si>
  <si>
    <t>Mason</t>
  </si>
  <si>
    <t>TW15 2HF</t>
  </si>
  <si>
    <t>helenlmason@hotmail.co.uk</t>
  </si>
  <si>
    <t>Jean &amp; Ian</t>
  </si>
  <si>
    <t>Parry</t>
  </si>
  <si>
    <t>Gilmore Crescent</t>
  </si>
  <si>
    <t>TW15 2DE</t>
  </si>
  <si>
    <t>jicparry@aol.com</t>
  </si>
  <si>
    <t>Jackie &amp; Les</t>
  </si>
  <si>
    <t>Brown</t>
  </si>
  <si>
    <t>TW15 3BX</t>
  </si>
  <si>
    <t>lesandjackiebrown@hotmail.co.uk</t>
  </si>
  <si>
    <t>25/4/26</t>
  </si>
  <si>
    <t>Jane</t>
  </si>
  <si>
    <t>Dobbie</t>
  </si>
  <si>
    <t>TW15 255</t>
  </si>
  <si>
    <t>jane@padcroft.org</t>
  </si>
  <si>
    <t>Jenny</t>
  </si>
  <si>
    <t>Upton</t>
  </si>
  <si>
    <t>daveupton@btopenworld.com</t>
  </si>
  <si>
    <t>John &amp; Angela</t>
  </si>
  <si>
    <t>Burns</t>
  </si>
  <si>
    <t>Reedsfield Road</t>
  </si>
  <si>
    <t>TW15 2HE</t>
  </si>
  <si>
    <t>jfburns14@hotmail.com</t>
  </si>
  <si>
    <t>Ibbett</t>
  </si>
  <si>
    <t>Clifford Grove</t>
  </si>
  <si>
    <t>TW15 2JT</t>
  </si>
  <si>
    <t>john@ibbett.me.uk</t>
  </si>
  <si>
    <t>Purser</t>
  </si>
  <si>
    <t>Woodthorpe Road</t>
  </si>
  <si>
    <t>TW15 2RU</t>
  </si>
  <si>
    <t>jkpurser@yahoo.com</t>
  </si>
  <si>
    <t>Paid by Megan Purser, same household</t>
  </si>
  <si>
    <t>Linda</t>
  </si>
  <si>
    <t>Bannister</t>
  </si>
  <si>
    <t>Chestnut Road</t>
  </si>
  <si>
    <t>TW15 1DD</t>
  </si>
  <si>
    <t>l.bannister954@btinternet.com</t>
  </si>
  <si>
    <t>Nicolls</t>
  </si>
  <si>
    <t>linnicholls@yahoo.co.uk</t>
  </si>
  <si>
    <t>Lyn</t>
  </si>
  <si>
    <t>Weetch</t>
  </si>
  <si>
    <t>Wolsey Road</t>
  </si>
  <si>
    <t>TW15 2RA</t>
  </si>
  <si>
    <t>weetch.family@btinternet.com</t>
  </si>
  <si>
    <t>Marilyn</t>
  </si>
  <si>
    <t>Castle</t>
  </si>
  <si>
    <t>TW15 2JY</t>
  </si>
  <si>
    <t>marilyncastle107@btinternet.com</t>
  </si>
  <si>
    <t>Megan</t>
  </si>
  <si>
    <t>meganpurser@yahoo.com</t>
  </si>
  <si>
    <t>Pam</t>
  </si>
  <si>
    <t>Brazier</t>
  </si>
  <si>
    <t>TW15 3ET</t>
  </si>
  <si>
    <t>pambrazier@gmail.com</t>
  </si>
  <si>
    <t>Patricia</t>
  </si>
  <si>
    <t>pat.kielty@hotmail.co.uk</t>
  </si>
  <si>
    <t xml:space="preserve">Family Membership  </t>
  </si>
  <si>
    <t>Holmes</t>
  </si>
  <si>
    <t>anxa@btinternet.com </t>
  </si>
  <si>
    <t>Peter</t>
  </si>
  <si>
    <t>Davies</t>
  </si>
  <si>
    <t>pcdavies54@hotmail.com</t>
  </si>
  <si>
    <t>Already paid £5 to Last ARA</t>
  </si>
  <si>
    <t>Phil</t>
  </si>
  <si>
    <t>Henley</t>
  </si>
  <si>
    <t>TW15 2LB</t>
  </si>
  <si>
    <t>Philomena</t>
  </si>
  <si>
    <t>Meddelton</t>
  </si>
  <si>
    <t>pmeddelton@gmail.com</t>
  </si>
  <si>
    <t>Richard</t>
  </si>
  <si>
    <t>Ancill</t>
  </si>
  <si>
    <t>TW15 2JP</t>
  </si>
  <si>
    <t>r2rsa@btinternet.com</t>
  </si>
  <si>
    <t>Kim</t>
  </si>
  <si>
    <t>TW15 3JR</t>
  </si>
  <si>
    <t>richardk2707@gmail.com</t>
  </si>
  <si>
    <t>Sheila</t>
  </si>
  <si>
    <t>O'Donovan</t>
  </si>
  <si>
    <t>sm_odonovan@btinternet.com</t>
  </si>
  <si>
    <t>Steve</t>
  </si>
  <si>
    <t>Wherlock</t>
  </si>
  <si>
    <t>Portland Road</t>
  </si>
  <si>
    <t>TW15 3BT</t>
  </si>
  <si>
    <t>swherlock@live.co.uk</t>
  </si>
  <si>
    <t>Paid by Bank Transfer</t>
  </si>
  <si>
    <t>Stuart</t>
  </si>
  <si>
    <t>Webster</t>
  </si>
  <si>
    <t>TW15 2JB</t>
  </si>
  <si>
    <t>stuartwebster50@gmail.com</t>
  </si>
  <si>
    <t>Susan</t>
  </si>
  <si>
    <t>Bland</t>
  </si>
  <si>
    <t>sbland_@hotmail.com</t>
  </si>
  <si>
    <t>Sue</t>
  </si>
  <si>
    <t>Claxton</t>
  </si>
  <si>
    <t>susanmclaxton@gmail.com</t>
  </si>
  <si>
    <t>Valerie</t>
  </si>
  <si>
    <t>Scott</t>
  </si>
  <si>
    <t>TW15 2QU</t>
  </si>
  <si>
    <t>val.scott2@btinternet.com</t>
  </si>
  <si>
    <t>Russell</t>
  </si>
  <si>
    <t>Nicol</t>
  </si>
  <si>
    <t>russ.nicol@blueyonder.co.uk</t>
  </si>
  <si>
    <t>EMAIL</t>
  </si>
  <si>
    <t>Johnson</t>
  </si>
  <si>
    <t>sueandbrianjohnson@yahoo.co.uk</t>
  </si>
  <si>
    <t>Sally</t>
  </si>
  <si>
    <t>George</t>
  </si>
  <si>
    <t>Kingston Cresent</t>
  </si>
  <si>
    <t>TW15 3NE</t>
  </si>
  <si>
    <t>sallygeorge@hotmail.co.uk</t>
  </si>
  <si>
    <t>Gareth</t>
  </si>
  <si>
    <t>Williams</t>
  </si>
  <si>
    <t>gareth.jon.williams@gmail.com</t>
  </si>
  <si>
    <t>Gordon</t>
  </si>
  <si>
    <t>Briggs</t>
  </si>
  <si>
    <t>Salcome Road</t>
  </si>
  <si>
    <t>TW15 3BS</t>
  </si>
  <si>
    <t>gordon.briggs@hotmail.co.uk</t>
  </si>
  <si>
    <t>Pawson</t>
  </si>
  <si>
    <t>Ashgrove Road</t>
  </si>
  <si>
    <t>TW15 1NU</t>
  </si>
  <si>
    <t>sjpawson@gmail.com</t>
  </si>
  <si>
    <t>NEXTDOOR</t>
  </si>
  <si>
    <t>Nik</t>
  </si>
  <si>
    <t>Urquhart</t>
  </si>
  <si>
    <t>Church Road</t>
  </si>
  <si>
    <t>nikurquhart@yahoo.co.uk</t>
  </si>
  <si>
    <t>Wrightson</t>
  </si>
  <si>
    <t>vjwri43@yahoo.com</t>
  </si>
  <si>
    <t>Swaffield</t>
  </si>
  <si>
    <t>Blake</t>
  </si>
  <si>
    <t>blake539@btinternet.com</t>
  </si>
  <si>
    <t>rmpawson@gmail.com</t>
  </si>
  <si>
    <t>Family Membership, paid by Sally Pawson</t>
  </si>
  <si>
    <t xml:space="preserve">Stella </t>
  </si>
  <si>
    <t>Walter</t>
  </si>
  <si>
    <t>Meadway</t>
  </si>
  <si>
    <t>TW15 2TJ</t>
  </si>
  <si>
    <t>kevinwalter6@hotmail.com</t>
  </si>
  <si>
    <t>Vatsal</t>
  </si>
  <si>
    <t>Patel</t>
  </si>
  <si>
    <t>vatz1996@hotmail.co.uk</t>
  </si>
  <si>
    <t>Irfan</t>
  </si>
  <si>
    <t>Younas</t>
  </si>
  <si>
    <t>TW15 2JR</t>
  </si>
  <si>
    <t>miyounas@gmail.com</t>
  </si>
  <si>
    <t xml:space="preserve">Carol </t>
  </si>
  <si>
    <t>Pringle</t>
  </si>
  <si>
    <t>carol.gerald10@yahoo.co.uk</t>
  </si>
  <si>
    <t>Rogerson</t>
  </si>
  <si>
    <t>carogerson57@yahoo.co.uk</t>
  </si>
  <si>
    <t>Chris</t>
  </si>
  <si>
    <t>Chattam</t>
  </si>
  <si>
    <t>christine.chattam@gmail.com</t>
  </si>
  <si>
    <t>Dareen</t>
  </si>
  <si>
    <t>A</t>
  </si>
  <si>
    <t>zany247@gmail.com</t>
  </si>
  <si>
    <t>Debbie</t>
  </si>
  <si>
    <t>Potter</t>
  </si>
  <si>
    <t>debbierpotter@yahoo.co.uk</t>
  </si>
  <si>
    <t>Melanie</t>
  </si>
  <si>
    <t>Hughes</t>
  </si>
  <si>
    <t>Natasha</t>
  </si>
  <si>
    <t>T</t>
  </si>
  <si>
    <t>nlpsub@outlook.com</t>
  </si>
  <si>
    <t>Arlington Road</t>
  </si>
  <si>
    <t>TW15 2LS</t>
  </si>
  <si>
    <t>suekielty@hotmail.co.uk</t>
  </si>
  <si>
    <t>24/3/26</t>
  </si>
  <si>
    <t>Family Membership - paid by Sue</t>
  </si>
  <si>
    <t>Glen</t>
  </si>
  <si>
    <t>Watson</t>
  </si>
  <si>
    <t>glenn.watson@ashfordrevive.org</t>
  </si>
  <si>
    <t>Lomas</t>
  </si>
  <si>
    <t>Clarendon Road</t>
  </si>
  <si>
    <t>28/12/25</t>
  </si>
  <si>
    <t>Committee Panel. Paid £10 to cover 2025 &amp; 2026. Renew  on 1/1/27</t>
  </si>
  <si>
    <t>Isabelle</t>
  </si>
  <si>
    <t>i.kielts2006@gmail.com</t>
  </si>
  <si>
    <t>Jamieson</t>
  </si>
  <si>
    <t>jamieson.kielty@hotmail.co.uk</t>
  </si>
  <si>
    <t>Family Membership</t>
  </si>
  <si>
    <t>Mark</t>
  </si>
  <si>
    <t>mjkielty@hotmail.com</t>
  </si>
  <si>
    <t>Fontmell Park</t>
  </si>
  <si>
    <t>TW15 2NW</t>
  </si>
  <si>
    <t>kilts@btinternet.com</t>
  </si>
  <si>
    <t>Paul</t>
  </si>
  <si>
    <t>Benson</t>
  </si>
  <si>
    <t>Paulbenson15@hotmail.com</t>
  </si>
  <si>
    <t>Agnieszka</t>
  </si>
  <si>
    <t>Lipka</t>
  </si>
  <si>
    <t>agnieszka.lipka1212@gmail.com</t>
  </si>
  <si>
    <t>Andy</t>
  </si>
  <si>
    <t>Telasai Anak Indit</t>
  </si>
  <si>
    <t xml:space="preserve">Ashgrove Road </t>
  </si>
  <si>
    <t>andytelasai@yahoo.com</t>
  </si>
  <si>
    <t>Smith</t>
  </si>
  <si>
    <t>smith-j90@sky.com</t>
  </si>
  <si>
    <t>Bone</t>
  </si>
  <si>
    <t>John1301b@gmail.com</t>
  </si>
  <si>
    <t>Wasley</t>
  </si>
  <si>
    <t>Amanda</t>
  </si>
  <si>
    <t>Mills</t>
  </si>
  <si>
    <t>millsamanda@live.co.uk</t>
  </si>
  <si>
    <t>Barry</t>
  </si>
  <si>
    <t>Muggeridge</t>
  </si>
  <si>
    <t>Chattern Road</t>
  </si>
  <si>
    <t>Heather</t>
  </si>
  <si>
    <t>McIntyre</t>
  </si>
  <si>
    <t>Mornington Road</t>
  </si>
  <si>
    <t>TW15 1NW</t>
  </si>
  <si>
    <t>heathermcintyre28@btinternet.com</t>
  </si>
  <si>
    <t>Neeraj</t>
  </si>
  <si>
    <t>Wadhwa</t>
  </si>
  <si>
    <t>wadhwaneeraj20@gmail.com</t>
  </si>
  <si>
    <t>Róisín</t>
  </si>
  <si>
    <t>Kennedy</t>
  </si>
  <si>
    <t>Gilmore Avenue</t>
  </si>
  <si>
    <t>TW15 2DD</t>
  </si>
  <si>
    <t>Roisin Mackey/Kennedy</t>
  </si>
  <si>
    <t>Goddard</t>
  </si>
  <si>
    <t>23/3/26</t>
  </si>
  <si>
    <t>Anna</t>
  </si>
  <si>
    <t>Barker</t>
  </si>
  <si>
    <t>annabarker@outlook.com</t>
  </si>
  <si>
    <t>Jesus</t>
  </si>
  <si>
    <t>Garcia-Robaina</t>
  </si>
  <si>
    <t>Jesus.garob@yahoo.co.uk</t>
  </si>
  <si>
    <t>Deb</t>
  </si>
  <si>
    <t>Cousens</t>
  </si>
  <si>
    <t>Committee Treasurer/Family Membership (John Dickens)</t>
  </si>
  <si>
    <t>Kirstie</t>
  </si>
  <si>
    <t>Lucas</t>
  </si>
  <si>
    <t>Kirstie.l@sky.com</t>
  </si>
  <si>
    <t>Michael</t>
  </si>
  <si>
    <t>Ashdown</t>
  </si>
  <si>
    <t>mjashdown@hotmail.com</t>
  </si>
  <si>
    <t>Nabila</t>
  </si>
  <si>
    <t>Ritchie</t>
  </si>
  <si>
    <t>Pamela</t>
  </si>
  <si>
    <t>Hancock</t>
  </si>
  <si>
    <t>pamela_c_hancock@yahoo.co.uk</t>
  </si>
  <si>
    <t>Simon</t>
  </si>
  <si>
    <t>Robins</t>
  </si>
  <si>
    <t>Greshem Road</t>
  </si>
  <si>
    <t>TW15 2BZ</t>
  </si>
  <si>
    <t>simonrobins1974@gmail.com</t>
  </si>
  <si>
    <t>Natalie</t>
  </si>
  <si>
    <t>Rendell</t>
  </si>
  <si>
    <t>Therendells@outlook.com</t>
  </si>
  <si>
    <t>WEBSITE</t>
  </si>
  <si>
    <t>23/4/2026</t>
  </si>
  <si>
    <t>Roberts</t>
  </si>
  <si>
    <t>nataliea_roberts@yahoo.co.uk</t>
  </si>
  <si>
    <t>Vrishikaben</t>
  </si>
  <si>
    <t>patelvrishika9@gmail.com</t>
  </si>
  <si>
    <t>TW15 1NS</t>
  </si>
  <si>
    <t>Family membership with Bernadette</t>
  </si>
  <si>
    <t>Debra</t>
  </si>
  <si>
    <t>McNeaney</t>
  </si>
  <si>
    <t>debramcneaney@gmail.com</t>
  </si>
  <si>
    <t>Dominic</t>
  </si>
  <si>
    <t>Winterburn</t>
  </si>
  <si>
    <t>Feltham Hill Road</t>
  </si>
  <si>
    <t>TW15 1LU</t>
  </si>
  <si>
    <t>dominicsfishing@hotmail.com</t>
  </si>
  <si>
    <t>Jane-Louise</t>
  </si>
  <si>
    <t>Taberer</t>
  </si>
  <si>
    <t>jltaberer@gmail.com</t>
  </si>
  <si>
    <t>Janice</t>
  </si>
  <si>
    <t>Echleforde Drive</t>
  </si>
  <si>
    <t>TW15 2ER</t>
  </si>
  <si>
    <t>jstuart@kingston.eu</t>
  </si>
  <si>
    <t>Jutta</t>
  </si>
  <si>
    <t>Walker</t>
  </si>
  <si>
    <t>walker2333@outlook.com</t>
  </si>
  <si>
    <t>Katie</t>
  </si>
  <si>
    <t>Chessholme Road</t>
  </si>
  <si>
    <t>TW15 1LG</t>
  </si>
  <si>
    <t>Katie2727@hotmail.co.uk</t>
  </si>
  <si>
    <t>Same household as Shaun Cousens</t>
  </si>
  <si>
    <t>Neville</t>
  </si>
  <si>
    <t>TW15 1LQ</t>
  </si>
  <si>
    <t>linda-neville@sky.com</t>
  </si>
  <si>
    <t>Lynette</t>
  </si>
  <si>
    <t>Adelaide Road</t>
  </si>
  <si>
    <t>TW15 3LL</t>
  </si>
  <si>
    <t>lynettejkeller@yahoo.co.uk</t>
  </si>
  <si>
    <t>Maria</t>
  </si>
  <si>
    <t>Ferreira</t>
  </si>
  <si>
    <t>mlrainha@googlemail.com</t>
  </si>
  <si>
    <t>Mary</t>
  </si>
  <si>
    <t>Freeth</t>
  </si>
  <si>
    <t>Ripston Road</t>
  </si>
  <si>
    <t>TW15 1PQ</t>
  </si>
  <si>
    <t>freeths.a@gmail.com</t>
  </si>
  <si>
    <t>Nicola</t>
  </si>
  <si>
    <t>Streeter</t>
  </si>
  <si>
    <t>Chester Close</t>
  </si>
  <si>
    <t>Niru</t>
  </si>
  <si>
    <t>Regmi</t>
  </si>
  <si>
    <t>TW 15 1PJ</t>
  </si>
  <si>
    <t>regmi.niru@yahoo.com</t>
  </si>
  <si>
    <t xml:space="preserve">Paul </t>
  </si>
  <si>
    <t>Wise</t>
  </si>
  <si>
    <t>Meadow Road</t>
  </si>
  <si>
    <t>Paid by Kevin Wise, same household</t>
  </si>
  <si>
    <t>Ruby</t>
  </si>
  <si>
    <t>rubyalder123@gmail.com</t>
  </si>
  <si>
    <t>Santosh</t>
  </si>
  <si>
    <t>Yellayagari</t>
  </si>
  <si>
    <t>ansari2208.p@gmail.com</t>
  </si>
  <si>
    <t>Shaun</t>
  </si>
  <si>
    <t>shaun_cousens@hotmail.co.uk</t>
  </si>
  <si>
    <t>Ashish</t>
  </si>
  <si>
    <t>Kahol</t>
  </si>
  <si>
    <t>ashishkahol@yahoo.co.uk</t>
  </si>
  <si>
    <t>Graham</t>
  </si>
  <si>
    <t>Lawson</t>
  </si>
  <si>
    <t>grahamontowlawson@gmail.com</t>
  </si>
  <si>
    <t>Jillian</t>
  </si>
  <si>
    <t>Webb</t>
  </si>
  <si>
    <t>webb_jiw2003@yahoo.co.uk</t>
  </si>
  <si>
    <t>19/4/2026</t>
  </si>
  <si>
    <t xml:space="preserve">Peter </t>
  </si>
  <si>
    <t>Peterandsarah28@btinternet.com</t>
  </si>
  <si>
    <t>Family membership paid by Sarah Greaves</t>
  </si>
  <si>
    <t>Callum</t>
  </si>
  <si>
    <t>Dyer</t>
  </si>
  <si>
    <t>St Michaels Road</t>
  </si>
  <si>
    <t>TW15 2AG</t>
  </si>
  <si>
    <t>callumjd@outlook.com</t>
  </si>
  <si>
    <t>Household membership with LAURA CHILDS - paid by Laura</t>
  </si>
  <si>
    <t>Diane</t>
  </si>
  <si>
    <t>Clark</t>
  </si>
  <si>
    <t>dianeclark.swb@yahoo.com</t>
  </si>
  <si>
    <t>Laura</t>
  </si>
  <si>
    <t>Childs</t>
  </si>
  <si>
    <t>laurachilds477@hotmail.co.uk</t>
  </si>
  <si>
    <t>Maggie</t>
  </si>
  <si>
    <t>Glancy</t>
  </si>
  <si>
    <t>Newhaven Crescent</t>
  </si>
  <si>
    <t>TW15 1PB</t>
  </si>
  <si>
    <t>maggieglancy@hotmail.com</t>
  </si>
  <si>
    <t>Vicky</t>
  </si>
  <si>
    <t>Inglis</t>
  </si>
  <si>
    <t>TW15 2QD</t>
  </si>
  <si>
    <t>Vicky-inglis@hotmail.co.uk</t>
  </si>
  <si>
    <t>FACEBOOK</t>
  </si>
  <si>
    <t>Michael &amp; Barbara</t>
  </si>
  <si>
    <t>Bagg</t>
  </si>
  <si>
    <t>Rosary Gardens</t>
  </si>
  <si>
    <t>TW15 1BX</t>
  </si>
  <si>
    <t>michael_bagg@hotmail.co.uk</t>
  </si>
  <si>
    <t>Daphne &amp; Martyn</t>
  </si>
  <si>
    <t>Tanner</t>
  </si>
  <si>
    <t>Junction Rd</t>
  </si>
  <si>
    <t>TW15 1NQ</t>
  </si>
  <si>
    <t>daffers@gmail.com</t>
  </si>
  <si>
    <t>Marian</t>
  </si>
  <si>
    <t>Nicholas</t>
  </si>
  <si>
    <t>marian.nicholas@gmail.com</t>
  </si>
  <si>
    <t>17/4/2026</t>
  </si>
  <si>
    <t>Family membership, paid by Tom Nicholas</t>
  </si>
  <si>
    <t>Irene</t>
  </si>
  <si>
    <t>Brien</t>
  </si>
  <si>
    <t>j.brien@sky.com</t>
  </si>
  <si>
    <t>20/4/2027</t>
  </si>
  <si>
    <t>Sansom</t>
  </si>
  <si>
    <t>TW15 2NP</t>
  </si>
  <si>
    <t>Paid again on 23rd November '25 so use this for 2026 membership.</t>
  </si>
  <si>
    <t>Sam</t>
  </si>
  <si>
    <t>Griffiths</t>
  </si>
  <si>
    <t xml:space="preserve">Parkland Grove </t>
  </si>
  <si>
    <t>samgriffiths1981@yahoo.com</t>
  </si>
  <si>
    <t>Endersby</t>
  </si>
  <si>
    <t>TW15 2QT</t>
  </si>
  <si>
    <t>david@tw18businessmedia.co.uk</t>
  </si>
  <si>
    <t>Elaine</t>
  </si>
  <si>
    <t>Emmerton</t>
  </si>
  <si>
    <t>Desford Way</t>
  </si>
  <si>
    <t>TW15 3AR</t>
  </si>
  <si>
    <t>elaine@metrayfinancials.co.uk</t>
  </si>
  <si>
    <t>Alan</t>
  </si>
  <si>
    <t>Joel</t>
  </si>
  <si>
    <t>alanj123@btinternet.com</t>
  </si>
  <si>
    <t>Clare</t>
  </si>
  <si>
    <t>Sabiston</t>
  </si>
  <si>
    <t>Clareclareclares@gmail.com</t>
  </si>
  <si>
    <t>Daniel</t>
  </si>
  <si>
    <t>Tomlinson</t>
  </si>
  <si>
    <t>dannytomlinson@yahoo.co.uk</t>
  </si>
  <si>
    <t>Sonjoy</t>
  </si>
  <si>
    <t>Premi</t>
  </si>
  <si>
    <t>sonjoy.premi@gmail.com</t>
  </si>
  <si>
    <t>McLuskey</t>
  </si>
  <si>
    <t>Stanley Road</t>
  </si>
  <si>
    <t>TW15 2LQ</t>
  </si>
  <si>
    <t>andrewmcluskey@outlook.com</t>
  </si>
  <si>
    <t>Colin</t>
  </si>
  <si>
    <t>Flack</t>
  </si>
  <si>
    <t>TW15 2JX</t>
  </si>
  <si>
    <t>Colin.e.flack@btinternet.com</t>
  </si>
  <si>
    <t>Farhad</t>
  </si>
  <si>
    <t>Karimi</t>
  </si>
  <si>
    <t>Village way</t>
  </si>
  <si>
    <t>Farhad_uk@yahoo.co.uk</t>
  </si>
  <si>
    <t>Sarah</t>
  </si>
  <si>
    <t>peterandsarah28@googlemail.com</t>
  </si>
  <si>
    <t>Lawrie</t>
  </si>
  <si>
    <t>Alison</t>
  </si>
  <si>
    <t>Blundell</t>
  </si>
  <si>
    <t>Ford Road</t>
  </si>
  <si>
    <t>TW15 2RD</t>
  </si>
  <si>
    <t>alisoneblundell@gmail.com</t>
  </si>
  <si>
    <t>William</t>
  </si>
  <si>
    <t>McLennan</t>
  </si>
  <si>
    <t>bmclennan54@hotmail.co.uk</t>
  </si>
  <si>
    <t>Cathy</t>
  </si>
  <si>
    <t>Waters</t>
  </si>
  <si>
    <t>cjwatersuk@yahoo.co.uk</t>
  </si>
  <si>
    <t>Family membership with Gary</t>
  </si>
  <si>
    <t>Deborah</t>
  </si>
  <si>
    <t>Nutt</t>
  </si>
  <si>
    <t>Anglesey Close</t>
  </si>
  <si>
    <t>deborahnutt@btinternet.com</t>
  </si>
  <si>
    <t>Diana</t>
  </si>
  <si>
    <t>Exeforde Avenue</t>
  </si>
  <si>
    <t>diana.e.lloyd@hotmail.com</t>
  </si>
  <si>
    <t>Ernst</t>
  </si>
  <si>
    <t>Bachmann</t>
  </si>
  <si>
    <t>TW15 2JF</t>
  </si>
  <si>
    <t>ernstbach@aol.com</t>
  </si>
  <si>
    <t>Evelyn</t>
  </si>
  <si>
    <t>Mitchell</t>
  </si>
  <si>
    <t>Hawley Way</t>
  </si>
  <si>
    <t>TW15 2EN</t>
  </si>
  <si>
    <t>evelynmitchell@hotmail.co.uk</t>
  </si>
  <si>
    <t>Francesca</t>
  </si>
  <si>
    <t>Parsons</t>
  </si>
  <si>
    <t>Denman Drive</t>
  </si>
  <si>
    <t>TW15 2AP</t>
  </si>
  <si>
    <t>fparsons4@hotmail.com</t>
  </si>
  <si>
    <t>Paid £5 donation + membership</t>
  </si>
  <si>
    <t xml:space="preserve">Gary </t>
  </si>
  <si>
    <t>gswatersuk@yahoo.co.uk</t>
  </si>
  <si>
    <t>Family membership with Cathy</t>
  </si>
  <si>
    <t>hwasley@googlemail.com</t>
  </si>
  <si>
    <t>Family membership with John Wasley</t>
  </si>
  <si>
    <t>Beecham</t>
  </si>
  <si>
    <t>TW15 1LN</t>
  </si>
  <si>
    <t>helenbeecham@gmail.com</t>
  </si>
  <si>
    <t>Howard</t>
  </si>
  <si>
    <t>Wooton</t>
  </si>
  <si>
    <t>wooton.family@btinternet.com</t>
  </si>
  <si>
    <t>Jan</t>
  </si>
  <si>
    <t>Sivelle</t>
  </si>
  <si>
    <t>jansivelle@hotmail.com</t>
  </si>
  <si>
    <t>Paid £10 - hold against 2026 fee</t>
  </si>
  <si>
    <t>Burnell</t>
  </si>
  <si>
    <t>Tudor Road</t>
  </si>
  <si>
    <t>TW15 1QW</t>
  </si>
  <si>
    <t>burnelljennyb@gmail.com</t>
  </si>
  <si>
    <t>Jo</t>
  </si>
  <si>
    <t>jomcluskey@gmail.com</t>
  </si>
  <si>
    <t>Household membership, paid by Andrew McCluskey</t>
  </si>
  <si>
    <t>Joan</t>
  </si>
  <si>
    <t>Fox</t>
  </si>
  <si>
    <t>fregina5@aol.com</t>
  </si>
  <si>
    <t>Nicolson</t>
  </si>
  <si>
    <t>Loydell</t>
  </si>
  <si>
    <t>TW15 2TH</t>
  </si>
  <si>
    <t>john.loydell@hotmail.co.uk</t>
  </si>
  <si>
    <t>McCarthy</t>
  </si>
  <si>
    <t>June</t>
  </si>
  <si>
    <t>Rubley</t>
  </si>
  <si>
    <t>june.rubley@icloud.com</t>
  </si>
  <si>
    <t>Kathleen</t>
  </si>
  <si>
    <t>Marshall</t>
  </si>
  <si>
    <t>TW15 1DQ</t>
  </si>
  <si>
    <t>Smithers</t>
  </si>
  <si>
    <t>lindasmithers@myyahoo.com</t>
  </si>
  <si>
    <t>Lisa</t>
  </si>
  <si>
    <t>Matthews</t>
  </si>
  <si>
    <t>lisamatthews@live.com</t>
  </si>
  <si>
    <t>Paid by bank transfer</t>
  </si>
  <si>
    <t>Louise</t>
  </si>
  <si>
    <t>Sears</t>
  </si>
  <si>
    <t>Princes Road</t>
  </si>
  <si>
    <t>TW15 2LT</t>
  </si>
  <si>
    <t>louise.sears@virgin.net</t>
  </si>
  <si>
    <t>map2003@hotmail.com</t>
  </si>
  <si>
    <t>Family membership with John Loydell</t>
  </si>
  <si>
    <t>Margery</t>
  </si>
  <si>
    <t>Hopkins</t>
  </si>
  <si>
    <t>Chessholm Road</t>
  </si>
  <si>
    <t>margehopkins@msn.com</t>
  </si>
  <si>
    <t>malbachmann@aol.com</t>
  </si>
  <si>
    <t xml:space="preserve">Phil </t>
  </si>
  <si>
    <t>phil_sivelle@hotmail.com</t>
  </si>
  <si>
    <t>Same household as Jan Sivelle</t>
  </si>
  <si>
    <t>richard.meddelton@btinternet.com</t>
  </si>
  <si>
    <t>Tom</t>
  </si>
  <si>
    <t>tom.nicholas@gmail.com</t>
  </si>
  <si>
    <t>Family membership with Marion, paid by Tom Nicholas</t>
  </si>
  <si>
    <t>tomsh58@gmail.com</t>
  </si>
  <si>
    <t>Family membership with Caroline Shannon</t>
  </si>
  <si>
    <t>gareth.williams@gurglephut.com</t>
  </si>
  <si>
    <t>17/6/2025</t>
  </si>
  <si>
    <t>Sherie</t>
  </si>
  <si>
    <t>Oddie</t>
  </si>
  <si>
    <t>sherie@oddie.net</t>
  </si>
  <si>
    <t>Josephine</t>
  </si>
  <si>
    <t>Beaumont</t>
  </si>
  <si>
    <t>jebeaumont2003@yahoo.co.uk</t>
  </si>
  <si>
    <t>Imperato</t>
  </si>
  <si>
    <t>mi00@hotmail.com</t>
  </si>
  <si>
    <t xml:space="preserve">Brenda </t>
  </si>
  <si>
    <t>Duff</t>
  </si>
  <si>
    <t>Stanwell Road</t>
  </si>
  <si>
    <t>TW15 3QH</t>
  </si>
  <si>
    <t>bcduffcole@yahoo.com</t>
  </si>
  <si>
    <t>Barbara</t>
  </si>
  <si>
    <t>barbarajmcl@hotmail.com</t>
  </si>
  <si>
    <t>Gurpinder</t>
  </si>
  <si>
    <t>Johal</t>
  </si>
  <si>
    <t>TW15 2DB</t>
  </si>
  <si>
    <t>gurpinderjohal@icloud.com</t>
  </si>
  <si>
    <t>Bryant</t>
  </si>
  <si>
    <t>TW15</t>
  </si>
  <si>
    <t>valbry213@outlook.com</t>
  </si>
  <si>
    <t>Janet</t>
  </si>
  <si>
    <t>O’Brien</t>
  </si>
  <si>
    <t>TW15 2LW</t>
  </si>
  <si>
    <t>jjanetobrien@gmail.com</t>
  </si>
  <si>
    <t>27/9/2026</t>
  </si>
  <si>
    <t>Petra</t>
  </si>
  <si>
    <t>Smillie</t>
  </si>
  <si>
    <t>TW15 2JZ</t>
  </si>
  <si>
    <t>smilliepetra@gmail.com</t>
  </si>
  <si>
    <t>Tara</t>
  </si>
  <si>
    <t>Bashir</t>
  </si>
  <si>
    <t>Talbot Road</t>
  </si>
  <si>
    <t>TW15 3PN</t>
  </si>
  <si>
    <t>tara.bashir@yahoo.com</t>
  </si>
  <si>
    <t>Pardeep</t>
  </si>
  <si>
    <t>Jagpal</t>
  </si>
  <si>
    <t>Elgin Avenue</t>
  </si>
  <si>
    <t>TW15 1QE</t>
  </si>
  <si>
    <t>pardeepjagpal@gmail.com</t>
  </si>
  <si>
    <t>Anne-Maria</t>
  </si>
  <si>
    <t>Eusebio</t>
  </si>
  <si>
    <t>Metcalf Road</t>
  </si>
  <si>
    <t>TW15 1EZ</t>
  </si>
  <si>
    <t>amaria.eusebio@gmail.com</t>
  </si>
  <si>
    <t>Barham</t>
  </si>
  <si>
    <t>Orchard Close</t>
  </si>
  <si>
    <t>TW15 1JD</t>
  </si>
  <si>
    <t>davidbarham121@hotmail.co.uk</t>
  </si>
  <si>
    <t>Gabriella</t>
  </si>
  <si>
    <t>Marsalla</t>
  </si>
  <si>
    <t>marsgabi@hotmail.co.uk</t>
  </si>
  <si>
    <t>Gush</t>
  </si>
  <si>
    <t>Bhullar</t>
  </si>
  <si>
    <t>Saxon Road</t>
  </si>
  <si>
    <t>TW15 1QL</t>
  </si>
  <si>
    <t>gushbhullar1@gmail.com</t>
  </si>
  <si>
    <t>Karen</t>
  </si>
  <si>
    <t>Mcaleer</t>
  </si>
  <si>
    <t>Aspen Gardens</t>
  </si>
  <si>
    <t>TW15 1ED</t>
  </si>
  <si>
    <t>tbhwb@outlook.com</t>
  </si>
  <si>
    <t>Loveridge</t>
  </si>
  <si>
    <t>Matcalf Road</t>
  </si>
  <si>
    <t>TW15 1HD</t>
  </si>
  <si>
    <t>mrg.loveridge@gmail.com</t>
  </si>
  <si>
    <t xml:space="preserve">Steve </t>
  </si>
  <si>
    <t>Stennett</t>
  </si>
  <si>
    <t>Junction Road</t>
  </si>
  <si>
    <t>stevestennett@hotmail.co.uk</t>
  </si>
  <si>
    <t>Hutchins</t>
  </si>
  <si>
    <t>karenrhutchins@sky.com</t>
  </si>
  <si>
    <t>Toll</t>
  </si>
  <si>
    <t>carolinetoll@hotmail.co.uk</t>
  </si>
  <si>
    <t>Mike</t>
  </si>
  <si>
    <t>Keegan</t>
  </si>
  <si>
    <t>Mornington road</t>
  </si>
  <si>
    <t>Paid again 9/12/25 - carry forward to 2026 fee</t>
  </si>
  <si>
    <t>Keith</t>
  </si>
  <si>
    <t>Gibson</t>
  </si>
  <si>
    <t>kg.gk@virgin.net</t>
  </si>
  <si>
    <t>Martin</t>
  </si>
  <si>
    <t xml:space="preserve">TW15 2JN </t>
  </si>
  <si>
    <t xml:space="preserve">m4matthews@gmail.com </t>
  </si>
  <si>
    <t>Philip</t>
  </si>
  <si>
    <t>Cambray</t>
  </si>
  <si>
    <t>philipcambray@hotmail.co.uk</t>
  </si>
  <si>
    <t>Paid via bank transfer</t>
  </si>
  <si>
    <t>Murphy</t>
  </si>
  <si>
    <t>mikemurphy73@hotmail.com</t>
  </si>
  <si>
    <t>Ann</t>
  </si>
  <si>
    <t>annplan2@yahoo.com</t>
  </si>
  <si>
    <t>Audrey</t>
  </si>
  <si>
    <t>Aylott</t>
  </si>
  <si>
    <t>West Close</t>
  </si>
  <si>
    <t>TW15 3LU</t>
  </si>
  <si>
    <t>audreyaylott@outlook.com</t>
  </si>
  <si>
    <t>Clarke</t>
  </si>
  <si>
    <t>Mayfield Close</t>
  </si>
  <si>
    <t>TW15 2AT</t>
  </si>
  <si>
    <t>clarkstw15@hotmail.co.uk</t>
  </si>
  <si>
    <t>Bernadette</t>
  </si>
  <si>
    <t>Family membership with Andrew (Andrew paid)</t>
  </si>
  <si>
    <t>Cara</t>
  </si>
  <si>
    <t>Mackley</t>
  </si>
  <si>
    <t>TW152NE</t>
  </si>
  <si>
    <t>caramackley@hotmail.co.uk</t>
  </si>
  <si>
    <t xml:space="preserve">Christine </t>
  </si>
  <si>
    <t>Sutcliffe</t>
  </si>
  <si>
    <t>wiss@live.co.uk</t>
  </si>
  <si>
    <t>Derek</t>
  </si>
  <si>
    <t>Family membership with Valerie</t>
  </si>
  <si>
    <t xml:space="preserve">Helen </t>
  </si>
  <si>
    <t>helenbarker@gmail.com</t>
  </si>
  <si>
    <t>Doesn't want to be a member atm</t>
  </si>
  <si>
    <t>Ian</t>
  </si>
  <si>
    <t>Kirby</t>
  </si>
  <si>
    <t>Dudley Road</t>
  </si>
  <si>
    <t>TW15 2LF</t>
  </si>
  <si>
    <t>ian5kirby@btinternet.com</t>
  </si>
  <si>
    <t>Family Membership with Sue Kirby</t>
  </si>
  <si>
    <t xml:space="preserve">Jane </t>
  </si>
  <si>
    <t>Whiting</t>
  </si>
  <si>
    <t>Wellington Road</t>
  </si>
  <si>
    <t>TW15 3RT</t>
  </si>
  <si>
    <t>whiting562@gmail.com</t>
  </si>
  <si>
    <t>Jeannette</t>
  </si>
  <si>
    <t>Dane Road</t>
  </si>
  <si>
    <t>Paid £25 donation + membership</t>
  </si>
  <si>
    <t>27/9/2027</t>
  </si>
  <si>
    <t>Jill</t>
  </si>
  <si>
    <t>Palin</t>
  </si>
  <si>
    <t>TW15 2LA</t>
  </si>
  <si>
    <t>jillpalin@icloud.com</t>
  </si>
  <si>
    <t>Moseley</t>
  </si>
  <si>
    <t>jo.mose62@googlemail.com</t>
  </si>
  <si>
    <t>Sandringham Drive</t>
  </si>
  <si>
    <t>keith.sikan@btinternet.com</t>
  </si>
  <si>
    <t>Krobinson49@sky.com</t>
  </si>
  <si>
    <t>Deceased</t>
  </si>
  <si>
    <t>Kevin</t>
  </si>
  <si>
    <t>Swinburn</t>
  </si>
  <si>
    <t>Park Road</t>
  </si>
  <si>
    <t>TW15 1EX</t>
  </si>
  <si>
    <t>kspropmaint@btinternet.com</t>
  </si>
  <si>
    <t>Warwick Road</t>
  </si>
  <si>
    <t>TW15 3PG</t>
  </si>
  <si>
    <t>icequeen1405@yahoo.co.uk</t>
  </si>
  <si>
    <t>Levett</t>
  </si>
  <si>
    <t>School Road</t>
  </si>
  <si>
    <t>TW15 2BT</t>
  </si>
  <si>
    <t>mammalevett@rocketmail.com</t>
  </si>
  <si>
    <t>Lola</t>
  </si>
  <si>
    <t>Guisado</t>
  </si>
  <si>
    <t>Metcalf Avenue</t>
  </si>
  <si>
    <t>loguisado1@yahoo.co.uk</t>
  </si>
  <si>
    <t>Jackson</t>
  </si>
  <si>
    <t>TW15 2DN</t>
  </si>
  <si>
    <t>m.jackson1434@btinternet.com</t>
  </si>
  <si>
    <t>email came from 'Mark' Jackson, not Martin - do we have the wrong first name?</t>
  </si>
  <si>
    <t>Anderson</t>
  </si>
  <si>
    <t>Montrose Close</t>
  </si>
  <si>
    <t>TW15 1NH</t>
  </si>
  <si>
    <t>patricia45anderson@gmail.com</t>
  </si>
  <si>
    <t>Paula</t>
  </si>
  <si>
    <t>pwherlock@hotmail.com</t>
  </si>
  <si>
    <t>Paid by Steve Wherlock, same household</t>
  </si>
  <si>
    <t>Pete</t>
  </si>
  <si>
    <t>Staines Road West</t>
  </si>
  <si>
    <t>TW15 1RA</t>
  </si>
  <si>
    <t>peterrobins79@gmail.com</t>
  </si>
  <si>
    <t>Rachel</t>
  </si>
  <si>
    <t>Castell</t>
  </si>
  <si>
    <t>Wrens Avenue</t>
  </si>
  <si>
    <t>TW15 1AN</t>
  </si>
  <si>
    <t>rachelcastell580@btinternet.com</t>
  </si>
  <si>
    <t>Roger</t>
  </si>
  <si>
    <t>Marchant</t>
  </si>
  <si>
    <t>Queens Walk</t>
  </si>
  <si>
    <t>TW15 3JA</t>
  </si>
  <si>
    <t>rogermarchant46@gmail.com</t>
  </si>
  <si>
    <t xml:space="preserve">Sarah </t>
  </si>
  <si>
    <t>Gummer</t>
  </si>
  <si>
    <t>polardog10@outlook.com</t>
  </si>
  <si>
    <t>Rolfe</t>
  </si>
  <si>
    <t>St Hildas Avenue</t>
  </si>
  <si>
    <t>TW15 3RG</t>
  </si>
  <si>
    <t>sarah.rolfe@sky.com</t>
  </si>
  <si>
    <t>Stacy</t>
  </si>
  <si>
    <t>Rielly</t>
  </si>
  <si>
    <t>TW15 2DF</t>
  </si>
  <si>
    <t>stacyrielly@yahoo.co.uk</t>
  </si>
  <si>
    <t>stellasmith43210@gmail.com</t>
  </si>
  <si>
    <t xml:space="preserve">Sue </t>
  </si>
  <si>
    <t>suekirby@btinternet.com</t>
  </si>
  <si>
    <t>Craig</t>
  </si>
  <si>
    <t>Hatton</t>
  </si>
  <si>
    <t>Springfield Road</t>
  </si>
  <si>
    <t>TW15 2LR</t>
  </si>
  <si>
    <t>cjhatton13@gmail.com</t>
  </si>
  <si>
    <t>Dan</t>
  </si>
  <si>
    <t>O’Sullivan</t>
  </si>
  <si>
    <t>Gables Avenue</t>
  </si>
  <si>
    <t>TW15 2TA</t>
  </si>
  <si>
    <t>Stonefm@yahoo.co.uk</t>
  </si>
  <si>
    <t>Jean</t>
  </si>
  <si>
    <t>Stemp</t>
  </si>
  <si>
    <t>TW15 1 BB</t>
  </si>
  <si>
    <t>Jean.stemp@live.co.uk</t>
  </si>
  <si>
    <t>Kelly Rose</t>
  </si>
  <si>
    <t>Bradford</t>
  </si>
  <si>
    <t>kelly@krbradford.co.uk</t>
  </si>
  <si>
    <t>Brockwell</t>
  </si>
  <si>
    <t>suebrock66@gmail.com</t>
  </si>
  <si>
    <t>Alev</t>
  </si>
  <si>
    <t>Garner</t>
  </si>
  <si>
    <t>Parkland grove</t>
  </si>
  <si>
    <t>alevgarner@gmail.com</t>
  </si>
  <si>
    <t>Nikki</t>
  </si>
  <si>
    <t>Massey</t>
  </si>
  <si>
    <t>Hengrove Crescent</t>
  </si>
  <si>
    <t>TW15 3DG</t>
  </si>
  <si>
    <t>nikkimassey82@hotmail.co.uk</t>
  </si>
  <si>
    <t>Panagiota</t>
  </si>
  <si>
    <t>Mavrigiannaki</t>
  </si>
  <si>
    <t>Fernhurst road</t>
  </si>
  <si>
    <t>Paid again 4/12/25 - hold for membership renewal in Oct 26</t>
  </si>
  <si>
    <t>gordon road</t>
  </si>
  <si>
    <t>S</t>
  </si>
  <si>
    <t>Curls</t>
  </si>
  <si>
    <t>s_curls@hotmail.com</t>
  </si>
  <si>
    <t xml:space="preserve">Susan </t>
  </si>
  <si>
    <t>Lane</t>
  </si>
  <si>
    <t>Muncaster Road</t>
  </si>
  <si>
    <t>TW15 2HL</t>
  </si>
  <si>
    <t>suelane2015@yahoo.co.uk</t>
  </si>
  <si>
    <t>Ursula</t>
  </si>
  <si>
    <t>Wnuk</t>
  </si>
  <si>
    <t>TW152JU</t>
  </si>
  <si>
    <t>Dhiren</t>
  </si>
  <si>
    <t>Kanojiya</t>
  </si>
  <si>
    <t>Lucie Avenue</t>
  </si>
  <si>
    <t>TW15 2BH</t>
  </si>
  <si>
    <t>dhirenk@outlook.com</t>
  </si>
  <si>
    <t>TW15 3LN</t>
  </si>
  <si>
    <t>sallyjb267@outlook.com</t>
  </si>
  <si>
    <t>Charlotte</t>
  </si>
  <si>
    <t>Pope</t>
  </si>
  <si>
    <t>Ferndale Road</t>
  </si>
  <si>
    <t>TW153PJ</t>
  </si>
  <si>
    <t>beauport1066@gmail.com</t>
  </si>
  <si>
    <t>Ashford Close</t>
  </si>
  <si>
    <t>Andrewjrussell@yahoo.co.uk</t>
  </si>
  <si>
    <t>Stephen</t>
  </si>
  <si>
    <t>Barter</t>
  </si>
  <si>
    <t>Marlborough Road</t>
  </si>
  <si>
    <t>TW15 3PZ</t>
  </si>
  <si>
    <t>sfbarter55@gmail.com</t>
  </si>
  <si>
    <t>susanbarter63@gmail.com</t>
  </si>
  <si>
    <t>Atkinson</t>
  </si>
  <si>
    <t>Coleridge Road</t>
  </si>
  <si>
    <t>TW15 2QS</t>
  </si>
  <si>
    <t>charlotteatkinson3@icloud.com</t>
  </si>
  <si>
    <t>Christopher</t>
  </si>
  <si>
    <t>Salomons</t>
  </si>
  <si>
    <t>Chrisandvictoria1@gmail.com</t>
  </si>
  <si>
    <t>Kay</t>
  </si>
  <si>
    <t>Hennah</t>
  </si>
  <si>
    <t>Kay.hennah@talktalk.net</t>
  </si>
  <si>
    <t>Sharan</t>
  </si>
  <si>
    <t>Kaur Dhami</t>
  </si>
  <si>
    <t xml:space="preserve">Feltham Hill Road </t>
  </si>
  <si>
    <t>TW15 2ED</t>
  </si>
  <si>
    <t>skdbadal11@gmail.com</t>
  </si>
  <si>
    <t>Foster</t>
  </si>
  <si>
    <t>linda585foster@gmail.com</t>
  </si>
  <si>
    <t>Rita</t>
  </si>
  <si>
    <t>ritarobinson15@yahoo.co.uk</t>
  </si>
  <si>
    <t>£5 cash payment went against Keith Robinson/family membership</t>
  </si>
  <si>
    <t>Ash</t>
  </si>
  <si>
    <t>ashpatelonline@gmail.com</t>
  </si>
  <si>
    <t>Flyer</t>
  </si>
  <si>
    <t>peter.garner@gmail.com</t>
  </si>
  <si>
    <t>Wright</t>
  </si>
  <si>
    <t>Kingston Crescent</t>
  </si>
  <si>
    <t>TW15 3NF</t>
  </si>
  <si>
    <t>dpwright71@gmail.com</t>
  </si>
  <si>
    <t>20/12/2025</t>
  </si>
  <si>
    <t>Shyam</t>
  </si>
  <si>
    <t>Petrovini</t>
  </si>
  <si>
    <t>shyampetrovini@gmail.com</t>
  </si>
  <si>
    <t>Anita</t>
  </si>
  <si>
    <t>McKenzie</t>
  </si>
  <si>
    <t>Greouxaquae@icloud.com</t>
  </si>
  <si>
    <t>Martyn</t>
  </si>
  <si>
    <t>Station Crescent</t>
  </si>
  <si>
    <t>martyn.r.brown@talk21.com</t>
  </si>
  <si>
    <t>Nick</t>
  </si>
  <si>
    <t>Cooper</t>
  </si>
  <si>
    <t>TW15 3EV</t>
  </si>
  <si>
    <t>nickneve@hotmail.co.uk</t>
  </si>
  <si>
    <t>Meeting</t>
  </si>
  <si>
    <t xml:space="preserve">Eileen </t>
  </si>
  <si>
    <t>Burke</t>
  </si>
  <si>
    <t>eileenburke1@btinternet.com</t>
  </si>
  <si>
    <t>Paid via Jenny's iZettle</t>
  </si>
  <si>
    <t>clarecolin@gmail.com</t>
  </si>
  <si>
    <t>Paid via Jenny's iZettle???</t>
  </si>
  <si>
    <t>McGee</t>
  </si>
  <si>
    <t>Station Cresent</t>
  </si>
  <si>
    <t>TW15 3HN</t>
  </si>
  <si>
    <t>susan.mcgee3686@btinternet.com</t>
  </si>
  <si>
    <t>Alessandro</t>
  </si>
  <si>
    <t>Benedetto</t>
  </si>
  <si>
    <t>Church Street</t>
  </si>
  <si>
    <t>TW15 2EJ</t>
  </si>
  <si>
    <t>alexandrobenedetto@gmail.com</t>
  </si>
  <si>
    <t>Bex</t>
  </si>
  <si>
    <t>bex.lawrie@hotmail.com</t>
  </si>
  <si>
    <t>18/2/2026</t>
  </si>
  <si>
    <t>18/2/2027</t>
  </si>
  <si>
    <t>Tony</t>
  </si>
  <si>
    <t>Perez</t>
  </si>
  <si>
    <t>tony_perez@hotmail.com</t>
  </si>
  <si>
    <t>Roz</t>
  </si>
  <si>
    <t>Lamb</t>
  </si>
  <si>
    <t>TW15 1LW</t>
  </si>
  <si>
    <t>rosbrock@gmail.com</t>
  </si>
  <si>
    <t>Katharine</t>
  </si>
  <si>
    <t>Newman</t>
  </si>
  <si>
    <t>TBC</t>
  </si>
  <si>
    <t>katharine.newman@healthwatchsurrey.co.uk</t>
  </si>
  <si>
    <t>Sagar</t>
  </si>
  <si>
    <t>Narotomo</t>
  </si>
  <si>
    <t>Staveley Road</t>
  </si>
  <si>
    <t>TW15 1TF</t>
  </si>
  <si>
    <t>sagarsolankizx@gmail.com</t>
  </si>
  <si>
    <t>Jones</t>
  </si>
  <si>
    <t>Newhaven Cresent</t>
  </si>
  <si>
    <t>janpete7@gmail.com</t>
  </si>
  <si>
    <t xml:space="preserve">Matthew </t>
  </si>
  <si>
    <t>Speakman</t>
  </si>
  <si>
    <t>TW15 1DP</t>
  </si>
  <si>
    <t>20/03/2026</t>
  </si>
  <si>
    <t>Steven Jennings</t>
  </si>
  <si>
    <t>Steven</t>
  </si>
  <si>
    <t>Jennings</t>
  </si>
  <si>
    <t>TW15 2RB</t>
  </si>
  <si>
    <t>steven-jennings@hotmail.com</t>
  </si>
  <si>
    <t>18/4/2026</t>
  </si>
  <si>
    <t>Bernii Langridge</t>
  </si>
  <si>
    <t>Bernii</t>
  </si>
  <si>
    <t>Langridge</t>
  </si>
  <si>
    <t>Linkscroft Avenue</t>
  </si>
  <si>
    <t>TW15 2BQ</t>
  </si>
  <si>
    <t>bernii.langridge@outlook.com</t>
  </si>
  <si>
    <t>New member? Picked up details and payment from PayPal</t>
  </si>
  <si>
    <t>Annie</t>
  </si>
  <si>
    <t>Sugrue</t>
  </si>
  <si>
    <t>TW15 3QY</t>
  </si>
  <si>
    <t>annie.sugrue@gmail.com</t>
  </si>
  <si>
    <t>CASH</t>
  </si>
  <si>
    <t>TW15 2NH</t>
  </si>
  <si>
    <t>whozu25@yahoo.com</t>
  </si>
  <si>
    <t>deborah8brown@gmail.com</t>
  </si>
  <si>
    <t>Pat</t>
  </si>
  <si>
    <t>Jeffcott</t>
  </si>
  <si>
    <t>pat.jeffcott2@gmail.com</t>
  </si>
  <si>
    <t>Aash</t>
  </si>
  <si>
    <t>Engineer</t>
  </si>
  <si>
    <t>aash.engineer@gmail.com</t>
  </si>
  <si>
    <t>Satpal</t>
  </si>
  <si>
    <t>Thethy</t>
  </si>
  <si>
    <t>sthethy@live.co.uk</t>
  </si>
  <si>
    <t>27/4/2026</t>
  </si>
  <si>
    <t>Paul Manning</t>
  </si>
  <si>
    <t xml:space="preserve">Manning </t>
  </si>
  <si>
    <t>Dingle Road</t>
  </si>
  <si>
    <t>TW15 1HF</t>
  </si>
  <si>
    <t>pauljmanning@hotmail.com</t>
  </si>
  <si>
    <t>Paid twice in error. Waiting for confirmation on refund or 2 years membership</t>
  </si>
  <si>
    <t>28/4/2026</t>
  </si>
  <si>
    <t>Jill Treeves</t>
  </si>
  <si>
    <t>Treeves</t>
  </si>
  <si>
    <t>Jillte@hotmail.com</t>
  </si>
  <si>
    <t>Mark Kielty</t>
  </si>
  <si>
    <t>Róisín Kennedy</t>
  </si>
  <si>
    <t>Sally Pawson</t>
  </si>
  <si>
    <t>Barry Muggeridge</t>
  </si>
  <si>
    <t>Natalie Roberts</t>
  </si>
  <si>
    <t>Susan Johnson</t>
  </si>
  <si>
    <t>Michael Ashdown</t>
  </si>
  <si>
    <t>Jillian Webb</t>
  </si>
  <si>
    <t>Michael &amp; Barbara Bagg</t>
  </si>
  <si>
    <t>Tom Nicholas</t>
  </si>
  <si>
    <t>Daphne &amp; Martyn Tanner</t>
  </si>
  <si>
    <t>NIK URQUHART</t>
  </si>
  <si>
    <t>David Endersby</t>
  </si>
  <si>
    <t>Colin Flack</t>
  </si>
  <si>
    <t>Gareth Williams</t>
  </si>
  <si>
    <t>Elaine Emmerton</t>
  </si>
  <si>
    <t>Carole Baxter</t>
  </si>
  <si>
    <t>Diane Clark</t>
  </si>
  <si>
    <t>Francesca Parsons</t>
  </si>
  <si>
    <t>Patricia Holmes</t>
  </si>
  <si>
    <t>Susan Bland</t>
  </si>
  <si>
    <t>Josephine Beaumont</t>
  </si>
  <si>
    <t>William McLennan</t>
  </si>
  <si>
    <t>Alan Joel</t>
  </si>
  <si>
    <t>Michael Imperato</t>
  </si>
  <si>
    <t>Richard Ancill</t>
  </si>
  <si>
    <t>Philomena Meddelton</t>
  </si>
  <si>
    <t>Barbara McLennan</t>
  </si>
  <si>
    <t>Pamela Hancock</t>
  </si>
  <si>
    <t>Megan Purser</t>
  </si>
  <si>
    <t>Petra Smillie</t>
  </si>
  <si>
    <t>Pardeep Jagpal</t>
  </si>
  <si>
    <t>Michael Keegan</t>
  </si>
  <si>
    <t>Keith Gibson</t>
  </si>
  <si>
    <t>Ian Kirkby</t>
  </si>
  <si>
    <t>Jeannette Brown</t>
  </si>
  <si>
    <t>Martin Jackson</t>
  </si>
  <si>
    <t>Linda Levett</t>
  </si>
  <si>
    <t>Charlotte Atkinson</t>
  </si>
  <si>
    <t>ASHFORD RESIDENTS ASSOCATION ** NEW MEMBERS ONLY **</t>
  </si>
  <si>
    <t>Post Code</t>
  </si>
  <si>
    <t>Paid £5 
Membership Fee</t>
  </si>
  <si>
    <t>ASHFORD RESIDENTS ASSOCATION ** PAID MEMBERS ONLY **</t>
  </si>
  <si>
    <t>Membership 
Date Paid</t>
  </si>
  <si>
    <t>PayPal 
Charges</t>
  </si>
  <si>
    <t>Paid Cash</t>
  </si>
  <si>
    <t>Telasai</t>
  </si>
  <si>
    <t>Ashgrove Roqa</t>
  </si>
  <si>
    <t>clarkstw15@hotmsail.co.uk</t>
  </si>
  <si>
    <t>andywilliams1290@hotmail.com</t>
  </si>
  <si>
    <t>Exford Avenue</t>
  </si>
  <si>
    <t>Committee Treasurer/Family Membership</t>
  </si>
  <si>
    <t>d&amp;jLeeks@btinternet.com</t>
  </si>
  <si>
    <t>Parklane Grove</t>
  </si>
  <si>
    <t>?</t>
  </si>
  <si>
    <t>Cheserfield Road</t>
  </si>
  <si>
    <t>Kirkby</t>
  </si>
  <si>
    <t>Echleford Drive</t>
  </si>
  <si>
    <t>Tutor Road</t>
  </si>
  <si>
    <t>McLuckey</t>
  </si>
  <si>
    <t>Parklane Growv</t>
  </si>
  <si>
    <t xml:space="preserve">John &amp; Angela </t>
  </si>
  <si>
    <t>jfburns14@hotmail.co.uk</t>
  </si>
  <si>
    <t>june.rubley@idoud.com</t>
  </si>
  <si>
    <t xml:space="preserve">ritarobinson15@yahoo.co.uk </t>
  </si>
  <si>
    <t>Ripsron Road</t>
  </si>
  <si>
    <t>Nataliea</t>
  </si>
  <si>
    <t>Peter &amp; Peter</t>
  </si>
  <si>
    <t>Tw15 3ln</t>
  </si>
  <si>
    <t>sodonovan08@btinternet.com</t>
  </si>
  <si>
    <t>Greshhem Road</t>
  </si>
  <si>
    <t>Chesterfiled Road</t>
  </si>
  <si>
    <t>Valeri</t>
  </si>
  <si>
    <t>TOTALS</t>
  </si>
  <si>
    <t>Yes</t>
  </si>
  <si>
    <t>Friends &amp; Family</t>
  </si>
  <si>
    <t>Nextdoor</t>
  </si>
  <si>
    <t>Neighbourhood Watch</t>
  </si>
  <si>
    <t>Bank Transfer</t>
  </si>
  <si>
    <t>Online Search</t>
  </si>
  <si>
    <t>Session</t>
  </si>
  <si>
    <t>Member</t>
  </si>
  <si>
    <t>Date Registered</t>
  </si>
  <si>
    <t>Active</t>
  </si>
  <si>
    <t>Member Source</t>
  </si>
  <si>
    <t>Payment Type</t>
  </si>
  <si>
    <t>Primary Email</t>
  </si>
  <si>
    <t>Leaver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</si>
</sst>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£&quot;#,##0.00"/>
    <numFmt numFmtId="165" formatCode="000"/>
    <numFmt numFmtId="166" formatCode="[$£-809]#,##0.00"/>
    <numFmt numFmtId="167" formatCode="[$-409]d\-mmm\-yy;@"/>
    <numFmt numFmtId="168" formatCode="dd/mm/yyyy;@"/>
  </numFmts>
  <fonts count="52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0000FF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36"/>
      <color theme="1"/>
      <name val="Calibri"/>
      <family val="2"/>
    </font>
    <font>
      <b/>
      <sz val="36"/>
      <color rgb="FF0000FF"/>
      <name val="Calibri"/>
      <family val="2"/>
    </font>
    <font>
      <b/>
      <sz val="36"/>
      <color rgb="FFFF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4"/>
      <color rgb="FFFF0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rgb="FF0000FF"/>
      <name val="Calibri"/>
      <family val="2"/>
    </font>
    <font>
      <b/>
      <sz val="11"/>
      <color theme="1"/>
      <name val="Aptos Display"/>
      <family val="2"/>
      <scheme val="major"/>
    </font>
    <font>
      <b/>
      <sz val="11"/>
      <color rgb="FF00000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4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14"/>
      <color rgb="FFFF0000"/>
      <name val="Aptos Display"/>
      <family val="2"/>
      <scheme val="major"/>
    </font>
    <font>
      <sz val="14"/>
      <color rgb="FFFF0000"/>
      <name val="Aptos Display"/>
      <family val="2"/>
      <scheme val="major"/>
    </font>
    <font>
      <sz val="11"/>
      <color theme="1"/>
      <name val="Arial"/>
      <family val="2"/>
      <charset val="1"/>
    </font>
    <font>
      <sz val="11"/>
      <color rgb="FF000000"/>
      <name val="PayPalPlain-Regular"/>
      <charset val="1"/>
    </font>
    <font>
      <b/>
      <i/>
      <sz val="11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b/>
      <i/>
      <sz val="11"/>
      <color theme="1"/>
      <name val="Aptos Narrow"/>
      <family val="2"/>
      <scheme val="minor"/>
    </font>
    <font>
      <sz val="11"/>
      <color rgb="FF0000FF"/>
      <name val="Aptos Display"/>
      <family val="2"/>
      <scheme val="major"/>
    </font>
    <font>
      <sz val="11"/>
      <name val="Aptos Display"/>
      <family val="2"/>
      <scheme val="major"/>
    </font>
    <font>
      <b/>
      <i/>
      <sz val="11"/>
      <color rgb="FF000000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color rgb="FF0000FF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theme="1"/>
      <name val="Calibri"/>
      <family val="2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14" fontId="20" fillId="0" borderId="6" xfId="0" applyNumberFormat="1" applyFont="1" applyBorder="1" applyAlignment="1">
      <alignment horizontal="center" vertical="center"/>
    </xf>
    <xf numFmtId="164" fontId="20" fillId="0" borderId="6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164" fontId="20" fillId="0" borderId="5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6" fillId="5" borderId="5" xfId="0" applyNumberFormat="1" applyFont="1" applyFill="1" applyBorder="1" applyAlignment="1">
      <alignment horizontal="center" vertical="center" wrapText="1"/>
    </xf>
    <xf numFmtId="168" fontId="6" fillId="5" borderId="5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64" fontId="6" fillId="5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21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164" fontId="12" fillId="5" borderId="5" xfId="0" applyNumberFormat="1" applyFont="1" applyFill="1" applyBorder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7" fillId="2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6" fillId="5" borderId="5" xfId="0" applyNumberFormat="1" applyFont="1" applyFill="1" applyBorder="1" applyAlignment="1">
      <alignment horizontal="center" vertical="center" wrapText="1"/>
    </xf>
    <xf numFmtId="168" fontId="17" fillId="2" borderId="5" xfId="0" applyNumberFormat="1" applyFont="1" applyFill="1" applyBorder="1" applyAlignment="1">
      <alignment horizontal="center" vertical="center" wrapText="1"/>
    </xf>
    <xf numFmtId="168" fontId="16" fillId="0" borderId="5" xfId="0" applyNumberFormat="1" applyFont="1" applyBorder="1" applyAlignment="1">
      <alignment horizontal="center" vertical="center" wrapText="1"/>
    </xf>
    <xf numFmtId="168" fontId="16" fillId="0" borderId="0" xfId="0" applyNumberFormat="1" applyFont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166" fontId="12" fillId="2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3" fillId="0" borderId="0" xfId="0" applyFont="1"/>
    <xf numFmtId="0" fontId="24" fillId="0" borderId="0" xfId="0" applyFont="1"/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0" xfId="0" applyFont="1"/>
    <xf numFmtId="0" fontId="25" fillId="0" borderId="0" xfId="0" applyFont="1" applyAlignment="1">
      <alignment horizontal="left" vertical="center"/>
    </xf>
    <xf numFmtId="0" fontId="16" fillId="0" borderId="7" xfId="0" applyFont="1" applyBorder="1" applyAlignment="1">
      <alignment horizontal="center" vertical="center" wrapText="1"/>
    </xf>
    <xf numFmtId="168" fontId="16" fillId="0" borderId="7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168" fontId="6" fillId="2" borderId="1" xfId="0" applyNumberFormat="1" applyFont="1" applyFill="1" applyBorder="1" applyAlignment="1">
      <alignment horizontal="center" vertical="center" wrapText="1"/>
    </xf>
    <xf numFmtId="168" fontId="6" fillId="0" borderId="1" xfId="0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167" fontId="27" fillId="2" borderId="0" xfId="0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166" fontId="27" fillId="2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21" fontId="29" fillId="0" borderId="0" xfId="0" applyNumberFormat="1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1" fontId="29" fillId="0" borderId="0" xfId="0" applyNumberFormat="1" applyFont="1" applyAlignment="1">
      <alignment horizontal="center" vertical="center"/>
    </xf>
    <xf numFmtId="14" fontId="29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166" fontId="31" fillId="4" borderId="1" xfId="0" applyNumberFormat="1" applyFont="1" applyFill="1" applyBorder="1" applyAlignment="1">
      <alignment horizontal="center" vertical="center"/>
    </xf>
    <xf numFmtId="166" fontId="32" fillId="4" borderId="1" xfId="0" applyNumberFormat="1" applyFont="1" applyFill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6" fontId="33" fillId="0" borderId="1" xfId="0" applyNumberFormat="1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21" fontId="0" fillId="0" borderId="7" xfId="0" applyNumberForma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 wrapText="1"/>
    </xf>
    <xf numFmtId="167" fontId="27" fillId="2" borderId="0" xfId="0" applyNumberFormat="1" applyFont="1" applyFill="1" applyAlignment="1">
      <alignment horizontal="center" vertical="center" wrapText="1"/>
    </xf>
    <xf numFmtId="0" fontId="34" fillId="0" borderId="1" xfId="0" applyFont="1" applyBorder="1"/>
    <xf numFmtId="0" fontId="0" fillId="0" borderId="1" xfId="0" applyBorder="1"/>
    <xf numFmtId="0" fontId="29" fillId="0" borderId="0" xfId="0" applyFont="1"/>
    <xf numFmtId="0" fontId="29" fillId="0" borderId="0" xfId="0" applyFont="1" applyAlignment="1">
      <alignment horizontal="center"/>
    </xf>
    <xf numFmtId="166" fontId="29" fillId="0" borderId="0" xfId="0" applyNumberFormat="1" applyFont="1" applyAlignment="1">
      <alignment horizontal="center"/>
    </xf>
    <xf numFmtId="0" fontId="35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16" fillId="0" borderId="0" xfId="0" applyFont="1"/>
    <xf numFmtId="11" fontId="16" fillId="0" borderId="0" xfId="0" applyNumberFormat="1" applyFont="1"/>
    <xf numFmtId="166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28" fillId="0" borderId="5" xfId="0" applyFont="1" applyBorder="1" applyAlignment="1">
      <alignment horizontal="center" vertical="center"/>
    </xf>
    <xf numFmtId="165" fontId="26" fillId="0" borderId="5" xfId="0" applyNumberFormat="1" applyFont="1" applyBorder="1" applyAlignment="1">
      <alignment horizontal="center" vertical="center"/>
    </xf>
    <xf numFmtId="168" fontId="28" fillId="0" borderId="5" xfId="0" applyNumberFormat="1" applyFont="1" applyBorder="1" applyAlignment="1">
      <alignment horizontal="center" vertical="center"/>
    </xf>
    <xf numFmtId="14" fontId="40" fillId="0" borderId="5" xfId="0" applyNumberFormat="1" applyFont="1" applyBorder="1" applyAlignment="1">
      <alignment horizontal="center" vertical="center"/>
    </xf>
    <xf numFmtId="164" fontId="40" fillId="0" borderId="5" xfId="0" applyNumberFormat="1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8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20" fillId="6" borderId="1" xfId="0" applyNumberFormat="1" applyFont="1" applyFill="1" applyBorder="1" applyAlignment="1">
      <alignment horizontal="center" vertical="center"/>
    </xf>
    <xf numFmtId="164" fontId="20" fillId="6" borderId="1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4" fillId="6" borderId="1" xfId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4" fontId="19" fillId="6" borderId="1" xfId="0" applyNumberFormat="1" applyFont="1" applyFill="1" applyBorder="1" applyAlignment="1">
      <alignment horizontal="center" vertical="center"/>
    </xf>
    <xf numFmtId="168" fontId="0" fillId="6" borderId="6" xfId="0" applyNumberFormat="1" applyFill="1" applyBorder="1" applyAlignment="1">
      <alignment horizontal="center" vertical="center"/>
    </xf>
    <xf numFmtId="14" fontId="20" fillId="6" borderId="6" xfId="0" applyNumberFormat="1" applyFont="1" applyFill="1" applyBorder="1" applyAlignment="1">
      <alignment horizontal="center" vertical="center"/>
    </xf>
    <xf numFmtId="164" fontId="20" fillId="6" borderId="6" xfId="0" applyNumberFormat="1" applyFont="1" applyFill="1" applyBorder="1" applyAlignment="1">
      <alignment horizontal="center" vertical="center"/>
    </xf>
    <xf numFmtId="165" fontId="6" fillId="6" borderId="6" xfId="0" applyNumberFormat="1" applyFont="1" applyFill="1" applyBorder="1" applyAlignment="1">
      <alignment horizontal="center" vertical="center"/>
    </xf>
    <xf numFmtId="168" fontId="0" fillId="6" borderId="7" xfId="0" applyNumberForma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14" fontId="20" fillId="6" borderId="7" xfId="0" applyNumberFormat="1" applyFont="1" applyFill="1" applyBorder="1" applyAlignment="1">
      <alignment horizontal="center" vertical="center"/>
    </xf>
    <xf numFmtId="164" fontId="20" fillId="6" borderId="7" xfId="0" applyNumberFormat="1" applyFont="1" applyFill="1" applyBorder="1" applyAlignment="1">
      <alignment horizontal="center" vertical="center"/>
    </xf>
    <xf numFmtId="165" fontId="26" fillId="6" borderId="5" xfId="0" applyNumberFormat="1" applyFont="1" applyFill="1" applyBorder="1" applyAlignment="1">
      <alignment horizontal="center" vertical="center"/>
    </xf>
    <xf numFmtId="168" fontId="28" fillId="6" borderId="5" xfId="0" applyNumberFormat="1" applyFont="1" applyFill="1" applyBorder="1" applyAlignment="1">
      <alignment horizontal="center" vertical="center"/>
    </xf>
    <xf numFmtId="0" fontId="28" fillId="6" borderId="5" xfId="0" applyFont="1" applyFill="1" applyBorder="1" applyAlignment="1">
      <alignment horizontal="center" vertical="center"/>
    </xf>
    <xf numFmtId="14" fontId="40" fillId="6" borderId="5" xfId="0" applyNumberFormat="1" applyFont="1" applyFill="1" applyBorder="1" applyAlignment="1">
      <alignment horizontal="center" vertical="center"/>
    </xf>
    <xf numFmtId="164" fontId="40" fillId="6" borderId="5" xfId="0" applyNumberFormat="1" applyFont="1" applyFill="1" applyBorder="1" applyAlignment="1">
      <alignment horizontal="center" vertical="center"/>
    </xf>
    <xf numFmtId="0" fontId="41" fillId="6" borderId="0" xfId="0" applyFont="1" applyFill="1" applyAlignment="1">
      <alignment horizontal="center" vertical="center"/>
    </xf>
    <xf numFmtId="0" fontId="40" fillId="6" borderId="5" xfId="0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14" fontId="20" fillId="3" borderId="1" xfId="0" applyNumberFormat="1" applyFont="1" applyFill="1" applyBorder="1" applyAlignment="1">
      <alignment horizontal="center" vertical="center"/>
    </xf>
    <xf numFmtId="164" fontId="20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5" fillId="3" borderId="1" xfId="0" applyFont="1" applyFill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3" fillId="6" borderId="5" xfId="0" applyFont="1" applyFill="1" applyBorder="1" applyAlignment="1">
      <alignment horizontal="center" vertical="center"/>
    </xf>
    <xf numFmtId="1" fontId="43" fillId="0" borderId="10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164" fontId="22" fillId="0" borderId="5" xfId="0" applyNumberFormat="1" applyFont="1" applyBorder="1" applyAlignment="1">
      <alignment horizontal="center" vertical="center" wrapText="1"/>
    </xf>
    <xf numFmtId="21" fontId="0" fillId="7" borderId="5" xfId="0" applyNumberForma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21" fontId="0" fillId="0" borderId="5" xfId="0" applyNumberFormat="1" applyBorder="1" applyAlignment="1">
      <alignment horizontal="center" vertical="center" wrapText="1"/>
    </xf>
    <xf numFmtId="21" fontId="22" fillId="0" borderId="5" xfId="0" applyNumberFormat="1" applyFont="1" applyBorder="1" applyAlignment="1">
      <alignment horizontal="center" vertical="center" wrapText="1"/>
    </xf>
    <xf numFmtId="21" fontId="22" fillId="0" borderId="7" xfId="0" applyNumberFormat="1" applyFont="1" applyBorder="1" applyAlignment="1">
      <alignment horizontal="center" vertical="center" wrapText="1"/>
    </xf>
    <xf numFmtId="165" fontId="6" fillId="3" borderId="3" xfId="0" applyNumberFormat="1" applyFont="1" applyFill="1" applyBorder="1" applyAlignment="1">
      <alignment horizontal="center" vertical="center"/>
    </xf>
    <xf numFmtId="165" fontId="26" fillId="6" borderId="10" xfId="0" applyNumberFormat="1" applyFont="1" applyFill="1" applyBorder="1" applyAlignment="1">
      <alignment horizontal="center" vertical="center"/>
    </xf>
    <xf numFmtId="165" fontId="26" fillId="6" borderId="12" xfId="0" applyNumberFormat="1" applyFont="1" applyFill="1" applyBorder="1" applyAlignment="1">
      <alignment horizontal="center" vertical="center"/>
    </xf>
    <xf numFmtId="165" fontId="26" fillId="3" borderId="3" xfId="0" applyNumberFormat="1" applyFont="1" applyFill="1" applyBorder="1" applyAlignment="1">
      <alignment horizontal="center" vertical="center"/>
    </xf>
    <xf numFmtId="165" fontId="26" fillId="3" borderId="10" xfId="0" applyNumberFormat="1" applyFont="1" applyFill="1" applyBorder="1" applyAlignment="1">
      <alignment horizontal="center" vertical="center"/>
    </xf>
    <xf numFmtId="165" fontId="26" fillId="3" borderId="12" xfId="0" applyNumberFormat="1" applyFont="1" applyFill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21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3" borderId="1" xfId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14" fontId="19" fillId="3" borderId="1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20" fillId="0" borderId="11" xfId="0" applyNumberFormat="1" applyFont="1" applyBorder="1" applyAlignment="1">
      <alignment horizontal="center" vertical="center"/>
    </xf>
    <xf numFmtId="14" fontId="40" fillId="0" borderId="7" xfId="0" applyNumberFormat="1" applyFont="1" applyBorder="1" applyAlignment="1">
      <alignment horizontal="center" vertical="center"/>
    </xf>
    <xf numFmtId="21" fontId="16" fillId="0" borderId="0" xfId="0" applyNumberFormat="1" applyFont="1"/>
    <xf numFmtId="14" fontId="16" fillId="0" borderId="0" xfId="0" applyNumberFormat="1" applyFont="1"/>
    <xf numFmtId="0" fontId="4" fillId="0" borderId="5" xfId="1" applyBorder="1" applyAlignment="1">
      <alignment horizontal="center"/>
    </xf>
    <xf numFmtId="14" fontId="20" fillId="0" borderId="7" xfId="0" applyNumberFormat="1" applyFont="1" applyBorder="1" applyAlignment="1">
      <alignment horizontal="center" vertical="center"/>
    </xf>
    <xf numFmtId="165" fontId="26" fillId="3" borderId="13" xfId="0" applyNumberFormat="1" applyFont="1" applyFill="1" applyBorder="1" applyAlignment="1">
      <alignment horizontal="center" vertical="center"/>
    </xf>
    <xf numFmtId="165" fontId="6" fillId="6" borderId="5" xfId="0" applyNumberFormat="1" applyFont="1" applyFill="1" applyBorder="1" applyAlignment="1">
      <alignment horizontal="center" vertical="center"/>
    </xf>
    <xf numFmtId="168" fontId="0" fillId="6" borderId="5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38" fillId="0" borderId="1" xfId="0" applyFont="1" applyBorder="1"/>
    <xf numFmtId="0" fontId="0" fillId="6" borderId="0" xfId="0" applyFill="1" applyAlignment="1">
      <alignment horizontal="center" vertical="center"/>
    </xf>
    <xf numFmtId="14" fontId="20" fillId="6" borderId="5" xfId="0" applyNumberFormat="1" applyFont="1" applyFill="1" applyBorder="1" applyAlignment="1">
      <alignment horizontal="center" vertical="center"/>
    </xf>
    <xf numFmtId="164" fontId="20" fillId="6" borderId="5" xfId="0" applyNumberFormat="1" applyFont="1" applyFill="1" applyBorder="1" applyAlignment="1">
      <alignment horizontal="center" vertical="center"/>
    </xf>
    <xf numFmtId="165" fontId="6" fillId="3" borderId="10" xfId="0" applyNumberFormat="1" applyFont="1" applyFill="1" applyBorder="1" applyAlignment="1">
      <alignment horizontal="center" vertical="center"/>
    </xf>
    <xf numFmtId="165" fontId="44" fillId="0" borderId="1" xfId="0" applyNumberFormat="1" applyFont="1" applyBorder="1" applyAlignment="1">
      <alignment horizontal="center" vertical="center"/>
    </xf>
    <xf numFmtId="168" fontId="45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14" fontId="46" fillId="0" borderId="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164" fontId="46" fillId="0" borderId="1" xfId="0" applyNumberFormat="1" applyFont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45" fillId="6" borderId="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8" fillId="0" borderId="0" xfId="0" applyFont="1" applyAlignment="1">
      <alignment horizontal="left" vertical="center"/>
    </xf>
    <xf numFmtId="0" fontId="48" fillId="0" borderId="0" xfId="0" applyFont="1"/>
    <xf numFmtId="168" fontId="49" fillId="0" borderId="5" xfId="0" applyNumberFormat="1" applyFont="1" applyBorder="1" applyAlignment="1">
      <alignment horizontal="center" vertical="center" wrapText="1"/>
    </xf>
    <xf numFmtId="168" fontId="45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6" fontId="20" fillId="0" borderId="5" xfId="0" applyNumberFormat="1" applyFont="1" applyBorder="1" applyAlignment="1">
      <alignment horizontal="center" vertical="center"/>
    </xf>
    <xf numFmtId="166" fontId="40" fillId="0" borderId="5" xfId="0" applyNumberFormat="1" applyFont="1" applyBorder="1" applyAlignment="1">
      <alignment horizontal="center" vertical="center"/>
    </xf>
    <xf numFmtId="166" fontId="40" fillId="0" borderId="8" xfId="0" applyNumberFormat="1" applyFont="1" applyBorder="1" applyAlignment="1">
      <alignment horizontal="center" vertical="center"/>
    </xf>
    <xf numFmtId="166" fontId="20" fillId="0" borderId="7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165" fontId="26" fillId="0" borderId="3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164" fontId="7" fillId="4" borderId="9" xfId="0" applyNumberFormat="1" applyFont="1" applyFill="1" applyBorder="1" applyAlignment="1">
      <alignment horizontal="center" vertical="center" wrapText="1"/>
    </xf>
    <xf numFmtId="0" fontId="4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43" fillId="6" borderId="10" xfId="0" applyFont="1" applyFill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20" fillId="0" borderId="10" xfId="0" applyNumberFormat="1" applyFont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165" fontId="26" fillId="3" borderId="5" xfId="0" applyNumberFormat="1" applyFont="1" applyFill="1" applyBorder="1" applyAlignment="1">
      <alignment horizontal="center" vertical="center"/>
    </xf>
    <xf numFmtId="166" fontId="20" fillId="0" borderId="6" xfId="0" applyNumberFormat="1" applyFont="1" applyBorder="1" applyAlignment="1">
      <alignment horizontal="center" vertical="center"/>
    </xf>
    <xf numFmtId="165" fontId="26" fillId="0" borderId="7" xfId="0" applyNumberFormat="1" applyFon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65" fontId="26" fillId="3" borderId="7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165" fontId="26" fillId="6" borderId="13" xfId="0" applyNumberFormat="1" applyFont="1" applyFill="1" applyBorder="1" applyAlignment="1">
      <alignment horizontal="center" vertical="center"/>
    </xf>
    <xf numFmtId="168" fontId="28" fillId="3" borderId="5" xfId="0" applyNumberFormat="1" applyFont="1" applyFill="1" applyBorder="1" applyAlignment="1">
      <alignment horizontal="center" vertical="center"/>
    </xf>
    <xf numFmtId="0" fontId="43" fillId="3" borderId="5" xfId="0" applyFont="1" applyFill="1" applyBorder="1" applyAlignment="1">
      <alignment horizontal="center" vertical="center"/>
    </xf>
    <xf numFmtId="0" fontId="43" fillId="3" borderId="0" xfId="0" applyFont="1" applyFill="1" applyAlignment="1">
      <alignment horizontal="center" vertical="center"/>
    </xf>
    <xf numFmtId="0" fontId="28" fillId="3" borderId="5" xfId="0" applyFont="1" applyFill="1" applyBorder="1" applyAlignment="1">
      <alignment horizontal="center" vertical="center"/>
    </xf>
    <xf numFmtId="14" fontId="40" fillId="3" borderId="5" xfId="0" applyNumberFormat="1" applyFont="1" applyFill="1" applyBorder="1" applyAlignment="1">
      <alignment horizontal="center" vertical="center"/>
    </xf>
    <xf numFmtId="164" fontId="40" fillId="3" borderId="5" xfId="0" applyNumberFormat="1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16" fillId="0" borderId="0" xfId="0" applyFont="1" applyAlignment="1">
      <alignment wrapText="1"/>
    </xf>
    <xf numFmtId="166" fontId="16" fillId="0" borderId="5" xfId="0" applyNumberFormat="1" applyFont="1" applyBorder="1" applyAlignment="1">
      <alignment horizontal="center"/>
    </xf>
    <xf numFmtId="166" fontId="50" fillId="0" borderId="0" xfId="0" applyNumberFormat="1" applyFont="1" applyAlignment="1">
      <alignment horizontal="center"/>
    </xf>
    <xf numFmtId="0" fontId="50" fillId="0" borderId="0" xfId="0" applyFont="1"/>
    <xf numFmtId="14" fontId="20" fillId="0" borderId="8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0" fontId="51" fillId="0" borderId="0" xfId="0" applyFont="1"/>
    <xf numFmtId="0" fontId="4" fillId="0" borderId="0" xfId="1" applyAlignment="1">
      <alignment horizontal="center"/>
    </xf>
    <xf numFmtId="0" fontId="4" fillId="0" borderId="6" xfId="1" applyBorder="1" applyAlignment="1">
      <alignment horizontal="center" vertical="center"/>
    </xf>
    <xf numFmtId="0" fontId="4" fillId="0" borderId="5" xfId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51" fillId="0" borderId="0" xfId="0" applyFont="1" applyAlignment="1">
      <alignment horizontal="center"/>
    </xf>
    <xf numFmtId="1" fontId="0" fillId="0" borderId="10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30" fillId="4" borderId="3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top"/>
    </xf>
    <xf numFmtId="0" fontId="7" fillId="4" borderId="2" xfId="0" applyFont="1" applyFill="1" applyBorder="1" applyAlignment="1">
      <alignment horizontal="center" vertical="top"/>
    </xf>
    <xf numFmtId="0" fontId="15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pcdavies54@hotmail.com" TargetMode="External"/><Relationship Id="rId18" Type="http://schemas.openxmlformats.org/officeDocument/2006/relationships/hyperlink" Target="mailto:freeths.a@gmail.com" TargetMode="External"/><Relationship Id="rId26" Type="http://schemas.openxmlformats.org/officeDocument/2006/relationships/hyperlink" Target="mailto:deborah8brown@gmail.com" TargetMode="External"/><Relationship Id="rId39" Type="http://schemas.openxmlformats.org/officeDocument/2006/relationships/hyperlink" Target="mailto:jfburns14@hotmail.com" TargetMode="External"/><Relationship Id="rId21" Type="http://schemas.openxmlformats.org/officeDocument/2006/relationships/hyperlink" Target="mailto:steven-jennings@hotmail.com" TargetMode="External"/><Relationship Id="rId34" Type="http://schemas.openxmlformats.org/officeDocument/2006/relationships/hyperlink" Target="mailto:chris.wooster@btinternet.com" TargetMode="External"/><Relationship Id="rId42" Type="http://schemas.openxmlformats.org/officeDocument/2006/relationships/hyperlink" Target="mailto:pcdavies54@hotmail.com" TargetMode="External"/><Relationship Id="rId47" Type="http://schemas.openxmlformats.org/officeDocument/2006/relationships/hyperlink" Target="mailto:freeths.a@gmail.com" TargetMode="External"/><Relationship Id="rId50" Type="http://schemas.openxmlformats.org/officeDocument/2006/relationships/hyperlink" Target="mailto:steven-jennings@hotmail.com" TargetMode="External"/><Relationship Id="rId55" Type="http://schemas.openxmlformats.org/officeDocument/2006/relationships/hyperlink" Target="mailto:deborah8brown@gmail.com" TargetMode="External"/><Relationship Id="rId7" Type="http://schemas.openxmlformats.org/officeDocument/2006/relationships/hyperlink" Target="mailto:clarkstw15@hotmail.co.uk" TargetMode="External"/><Relationship Id="rId2" Type="http://schemas.openxmlformats.org/officeDocument/2006/relationships/hyperlink" Target="mailto:foxoriginal@hotmail.com" TargetMode="External"/><Relationship Id="rId16" Type="http://schemas.openxmlformats.org/officeDocument/2006/relationships/hyperlink" Target="mailto:linda-neville@sky.com" TargetMode="External"/><Relationship Id="rId29" Type="http://schemas.openxmlformats.org/officeDocument/2006/relationships/hyperlink" Target="mailto:sthethy@live.co.uk" TargetMode="External"/><Relationship Id="rId11" Type="http://schemas.openxmlformats.org/officeDocument/2006/relationships/hyperlink" Target="mailto:stacyrielly@yahoo.co.uk" TargetMode="External"/><Relationship Id="rId24" Type="http://schemas.openxmlformats.org/officeDocument/2006/relationships/hyperlink" Target="mailto:bernii.langridge@outlook.com" TargetMode="External"/><Relationship Id="rId32" Type="http://schemas.openxmlformats.org/officeDocument/2006/relationships/hyperlink" Target="mailto:dandjLeeks@btinternet.com" TargetMode="External"/><Relationship Id="rId37" Type="http://schemas.openxmlformats.org/officeDocument/2006/relationships/hyperlink" Target="mailto:june.rubley@icloud.com" TargetMode="External"/><Relationship Id="rId40" Type="http://schemas.openxmlformats.org/officeDocument/2006/relationships/hyperlink" Target="mailto:stacyrielly@yahoo.co.uk" TargetMode="External"/><Relationship Id="rId45" Type="http://schemas.openxmlformats.org/officeDocument/2006/relationships/hyperlink" Target="mailto:linda-neville@sky.com" TargetMode="External"/><Relationship Id="rId53" Type="http://schemas.openxmlformats.org/officeDocument/2006/relationships/hyperlink" Target="mailto:bernii.langridge@outlook.com" TargetMode="External"/><Relationship Id="rId58" Type="http://schemas.openxmlformats.org/officeDocument/2006/relationships/hyperlink" Target="mailto:sthethy@live.co.uk" TargetMode="External"/><Relationship Id="rId5" Type="http://schemas.openxmlformats.org/officeDocument/2006/relationships/hyperlink" Target="mailto:chris.wooster@btinternet.com" TargetMode="External"/><Relationship Id="rId19" Type="http://schemas.openxmlformats.org/officeDocument/2006/relationships/hyperlink" Target="mailto:linda585foster@gmail.com" TargetMode="External"/><Relationship Id="rId4" Type="http://schemas.openxmlformats.org/officeDocument/2006/relationships/hyperlink" Target="mailto:andytelasai@yahoo.com" TargetMode="External"/><Relationship Id="rId9" Type="http://schemas.openxmlformats.org/officeDocument/2006/relationships/hyperlink" Target="mailto:andywilliams290@hotmail.com" TargetMode="External"/><Relationship Id="rId14" Type="http://schemas.openxmlformats.org/officeDocument/2006/relationships/hyperlink" Target="mailto:samgriffiths1981@yahoo.com" TargetMode="External"/><Relationship Id="rId22" Type="http://schemas.openxmlformats.org/officeDocument/2006/relationships/hyperlink" Target="mailto:sm_odonovan@btinternet.com" TargetMode="External"/><Relationship Id="rId27" Type="http://schemas.openxmlformats.org/officeDocument/2006/relationships/hyperlink" Target="mailto:pat.jeffcott2@gmail.com" TargetMode="External"/><Relationship Id="rId30" Type="http://schemas.openxmlformats.org/officeDocument/2006/relationships/hyperlink" Target="mailto:pauljmanning@hotmail.com" TargetMode="External"/><Relationship Id="rId35" Type="http://schemas.openxmlformats.org/officeDocument/2006/relationships/hyperlink" Target="mailto:jansivelle@hotmail.com" TargetMode="External"/><Relationship Id="rId43" Type="http://schemas.openxmlformats.org/officeDocument/2006/relationships/hyperlink" Target="mailto:samgriffiths1981@yahoo.com" TargetMode="External"/><Relationship Id="rId48" Type="http://schemas.openxmlformats.org/officeDocument/2006/relationships/hyperlink" Target="mailto:linda585foster@gmail.com" TargetMode="External"/><Relationship Id="rId56" Type="http://schemas.openxmlformats.org/officeDocument/2006/relationships/hyperlink" Target="mailto:pat.jeffcott2@gmail.com" TargetMode="External"/><Relationship Id="rId8" Type="http://schemas.openxmlformats.org/officeDocument/2006/relationships/hyperlink" Target="mailto:june.rubley@icloud.com" TargetMode="External"/><Relationship Id="rId51" Type="http://schemas.openxmlformats.org/officeDocument/2006/relationships/hyperlink" Target="mailto:sm_odonovan@btinternet.com" TargetMode="External"/><Relationship Id="rId3" Type="http://schemas.openxmlformats.org/officeDocument/2006/relationships/hyperlink" Target="mailto:dandjLeeks@btinternet.com" TargetMode="External"/><Relationship Id="rId12" Type="http://schemas.openxmlformats.org/officeDocument/2006/relationships/hyperlink" Target="mailto:collid2@virginmedia.com" TargetMode="External"/><Relationship Id="rId17" Type="http://schemas.openxmlformats.org/officeDocument/2006/relationships/hyperlink" Target="mailto:margehopkins@msn.com" TargetMode="External"/><Relationship Id="rId25" Type="http://schemas.openxmlformats.org/officeDocument/2006/relationships/hyperlink" Target="mailto:whozu25@yahoo.com" TargetMode="External"/><Relationship Id="rId33" Type="http://schemas.openxmlformats.org/officeDocument/2006/relationships/hyperlink" Target="mailto:andytelasai@yahoo.com" TargetMode="External"/><Relationship Id="rId38" Type="http://schemas.openxmlformats.org/officeDocument/2006/relationships/hyperlink" Target="mailto:andywilliams290@hotmail.com" TargetMode="External"/><Relationship Id="rId46" Type="http://schemas.openxmlformats.org/officeDocument/2006/relationships/hyperlink" Target="mailto:margehopkins@msn.com" TargetMode="External"/><Relationship Id="rId59" Type="http://schemas.openxmlformats.org/officeDocument/2006/relationships/hyperlink" Target="mailto:pauljmanning@hotmail.com" TargetMode="External"/><Relationship Id="rId20" Type="http://schemas.openxmlformats.org/officeDocument/2006/relationships/hyperlink" Target="mailto:andywilliams290@hotmail.com" TargetMode="External"/><Relationship Id="rId41" Type="http://schemas.openxmlformats.org/officeDocument/2006/relationships/hyperlink" Target="mailto:collid2@virginmedia.com" TargetMode="External"/><Relationship Id="rId54" Type="http://schemas.openxmlformats.org/officeDocument/2006/relationships/hyperlink" Target="mailto:whozu25@yahoo.com" TargetMode="External"/><Relationship Id="rId1" Type="http://schemas.openxmlformats.org/officeDocument/2006/relationships/hyperlink" Target="https://www.google.com/maps/search/40+Reedsfield+Road?entry=gmail&amp;source=g" TargetMode="External"/><Relationship Id="rId6" Type="http://schemas.openxmlformats.org/officeDocument/2006/relationships/hyperlink" Target="mailto:jansivelle@hotmail.com" TargetMode="External"/><Relationship Id="rId15" Type="http://schemas.openxmlformats.org/officeDocument/2006/relationships/hyperlink" Target="mailto:sarah.rolfe@sky.com" TargetMode="External"/><Relationship Id="rId23" Type="http://schemas.openxmlformats.org/officeDocument/2006/relationships/hyperlink" Target="mailto:annie.sugrue@gmail.com" TargetMode="External"/><Relationship Id="rId28" Type="http://schemas.openxmlformats.org/officeDocument/2006/relationships/hyperlink" Target="mailto:aash.engineer@gmail.com" TargetMode="External"/><Relationship Id="rId36" Type="http://schemas.openxmlformats.org/officeDocument/2006/relationships/hyperlink" Target="mailto:clarkstw15@hotmail.co.uk" TargetMode="External"/><Relationship Id="rId49" Type="http://schemas.openxmlformats.org/officeDocument/2006/relationships/hyperlink" Target="mailto:andywilliams290@hotmail.com" TargetMode="External"/><Relationship Id="rId57" Type="http://schemas.openxmlformats.org/officeDocument/2006/relationships/hyperlink" Target="mailto:aash.engineer@gmail.com" TargetMode="External"/><Relationship Id="rId10" Type="http://schemas.openxmlformats.org/officeDocument/2006/relationships/hyperlink" Target="mailto:jfburns14@hotmail.com" TargetMode="External"/><Relationship Id="rId31" Type="http://schemas.openxmlformats.org/officeDocument/2006/relationships/hyperlink" Target="mailto:foxoriginal@hotmail.com" TargetMode="External"/><Relationship Id="rId44" Type="http://schemas.openxmlformats.org/officeDocument/2006/relationships/hyperlink" Target="mailto:sarah.rolfe@sky.com" TargetMode="External"/><Relationship Id="rId52" Type="http://schemas.openxmlformats.org/officeDocument/2006/relationships/hyperlink" Target="mailto:annie.sugrue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maryebay3349@gmail.com" TargetMode="External"/><Relationship Id="rId1" Type="http://schemas.openxmlformats.org/officeDocument/2006/relationships/hyperlink" Target="https://www.google.com/maps/search/40+Reedsfield+Road?entry=gmail&amp;source=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737F-91EE-4A3C-A52B-E191E6F625A1}">
  <dimension ref="B2:D23"/>
  <sheetViews>
    <sheetView showGridLines="0" workbookViewId="0">
      <selection activeCell="G12" sqref="G12"/>
    </sheetView>
  </sheetViews>
  <sheetFormatPr baseColWidth="10" defaultColWidth="8.6640625" defaultRowHeight="16"/>
  <cols>
    <col min="1" max="1" width="8.6640625" style="103"/>
    <col min="2" max="2" width="24.1640625" style="103" customWidth="1"/>
    <col min="3" max="3" width="31" style="105" customWidth="1"/>
    <col min="4" max="4" width="14.6640625" style="103" customWidth="1"/>
    <col min="5" max="8" width="8.6640625" style="103"/>
    <col min="9" max="9" width="19.33203125" style="103" bestFit="1" customWidth="1"/>
    <col min="10" max="10" width="30" style="103" bestFit="1" customWidth="1"/>
    <col min="11" max="11" width="84.6640625" style="103" customWidth="1"/>
    <col min="12" max="16384" width="8.6640625" style="103"/>
  </cols>
  <sheetData>
    <row r="2" spans="2:4">
      <c r="B2" s="104" t="s">
        <v>0</v>
      </c>
      <c r="C2" s="106" t="s">
        <v>1</v>
      </c>
      <c r="D2" s="104" t="s">
        <v>2</v>
      </c>
    </row>
    <row r="3" spans="2:4">
      <c r="B3" s="104" t="s">
        <v>3</v>
      </c>
      <c r="C3" s="106" t="s">
        <v>4</v>
      </c>
      <c r="D3" s="104" t="s">
        <v>5</v>
      </c>
    </row>
    <row r="4" spans="2:4">
      <c r="B4" s="104" t="s">
        <v>6</v>
      </c>
      <c r="C4" s="106" t="s">
        <v>7</v>
      </c>
      <c r="D4" s="104" t="s">
        <v>8</v>
      </c>
    </row>
    <row r="5" spans="2:4">
      <c r="B5" s="104"/>
    </row>
    <row r="6" spans="2:4">
      <c r="B6" s="104" t="s">
        <v>9</v>
      </c>
      <c r="C6" s="106">
        <f>COUNTIF('ALL MEMBERS x1'!J:J,"COMMITTEE")</f>
        <v>6</v>
      </c>
    </row>
    <row r="7" spans="2:4">
      <c r="B7" s="104" t="s">
        <v>10</v>
      </c>
      <c r="C7" s="106">
        <f>COUNTIF('ALL MEMBERS x1'!J:J,"EMAIL")</f>
        <v>15</v>
      </c>
    </row>
    <row r="8" spans="2:4">
      <c r="B8" s="104" t="s">
        <v>11</v>
      </c>
      <c r="C8" s="106">
        <f>COUNTIF('ALL MEMBERS x1'!J:J,"facebook")</f>
        <v>10</v>
      </c>
    </row>
    <row r="9" spans="2:4">
      <c r="B9" s="104" t="s">
        <v>12</v>
      </c>
      <c r="C9" s="106">
        <f>COUNTIF('ALL MEMBERS x1'!J:J,"fees")</f>
        <v>1</v>
      </c>
    </row>
    <row r="10" spans="2:4">
      <c r="B10" s="104" t="s">
        <v>13</v>
      </c>
      <c r="C10" s="106">
        <f>COUNTIF('ALL MEMBERS x1'!J:J,"FR&amp;FM")</f>
        <v>4</v>
      </c>
    </row>
    <row r="11" spans="2:4">
      <c r="B11" s="104" t="s">
        <v>14</v>
      </c>
      <c r="C11" s="106">
        <f>COUNTIF('ALL MEMBERS x1'!J:J,"leaflet")</f>
        <v>10</v>
      </c>
    </row>
    <row r="12" spans="2:4">
      <c r="B12" s="104" t="s">
        <v>15</v>
      </c>
      <c r="C12" s="106">
        <f>COUNTIF('ALL MEMBERS x1'!J:J,"NEXTDOOR")</f>
        <v>11</v>
      </c>
    </row>
    <row r="13" spans="2:4">
      <c r="B13" s="104" t="s">
        <v>16</v>
      </c>
      <c r="C13" s="106">
        <f>COUNTIF('ALL MEMBERS x1'!J:J,"NHW")</f>
        <v>13</v>
      </c>
    </row>
    <row r="14" spans="2:4">
      <c r="B14" s="104" t="s">
        <v>17</v>
      </c>
      <c r="C14" s="106">
        <f>COUNTIF('ALL MEMBERS x1'!J:J,"paypal")</f>
        <v>4</v>
      </c>
    </row>
    <row r="15" spans="2:4">
      <c r="B15" s="104" t="s">
        <v>18</v>
      </c>
      <c r="C15" s="106">
        <f>COUNTIF('ALL MEMBERS x1'!J:J,"Sign Up Sheet")</f>
        <v>125</v>
      </c>
    </row>
    <row r="16" spans="2:4">
      <c r="B16" s="104" t="s">
        <v>19</v>
      </c>
      <c r="C16" s="106">
        <f>COUNTIF('ALL MEMBERS x1'!J:J,"WEBSITE")</f>
        <v>54</v>
      </c>
    </row>
    <row r="17" spans="2:3" ht="21">
      <c r="B17" s="107" t="s">
        <v>20</v>
      </c>
      <c r="C17" s="108">
        <f>SUM(C6:C16)</f>
        <v>253</v>
      </c>
    </row>
    <row r="18" spans="2:3">
      <c r="B18" s="104"/>
      <c r="C18" s="106"/>
    </row>
    <row r="19" spans="2:3">
      <c r="B19" s="104" t="s">
        <v>21</v>
      </c>
      <c r="C19" s="106" t="s">
        <v>22</v>
      </c>
    </row>
    <row r="20" spans="2:3">
      <c r="B20" s="104" t="s">
        <v>23</v>
      </c>
      <c r="C20" s="260" t="s">
        <v>24</v>
      </c>
    </row>
    <row r="21" spans="2:3">
      <c r="B21" s="104" t="s">
        <v>25</v>
      </c>
      <c r="C21" s="106" t="s">
        <v>26</v>
      </c>
    </row>
    <row r="22" spans="2:3">
      <c r="B22" s="104" t="s">
        <v>27</v>
      </c>
      <c r="C22" s="106" t="s">
        <v>28</v>
      </c>
    </row>
    <row r="23" spans="2:3">
      <c r="B23" s="261" t="s">
        <v>29</v>
      </c>
      <c r="C23" s="260" t="s">
        <v>30</v>
      </c>
    </row>
  </sheetData>
  <sortState xmlns:xlrd2="http://schemas.microsoft.com/office/spreadsheetml/2017/richdata2" ref="B7:J16">
    <sortCondition ref="B7:B16"/>
  </sortState>
  <pageMargins left="0.7" right="0.7" top="0.75" bottom="0.75" header="0.3" footer="0.3"/>
  <pageSetup orientation="portrait" r:id="rId1"/>
  <headerFooter>
    <oddFooter>&amp;R_x000D_&amp;1#&amp;"Calibri"&amp;8&amp;K000000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AB7A-3991-49D2-B25F-5DD6E926C63D}">
  <dimension ref="A1:F95"/>
  <sheetViews>
    <sheetView showGridLines="0" workbookViewId="0">
      <pane ySplit="1" topLeftCell="A18" activePane="bottomLeft" state="frozen"/>
      <selection pane="bottomLeft" activeCell="F35" sqref="F35"/>
    </sheetView>
  </sheetViews>
  <sheetFormatPr baseColWidth="10" defaultColWidth="9.1640625" defaultRowHeight="16.5" customHeight="1"/>
  <cols>
    <col min="1" max="1" width="18.83203125" style="32" customWidth="1"/>
    <col min="2" max="2" width="18.83203125" style="86" customWidth="1"/>
    <col min="3" max="5" width="18.83203125" style="35" customWidth="1"/>
    <col min="6" max="6" width="57.1640625" style="35" customWidth="1"/>
    <col min="7" max="16384" width="9.1640625" style="32"/>
  </cols>
  <sheetData>
    <row r="1" spans="1:6" s="34" customFormat="1" ht="32.25" customHeight="1">
      <c r="A1" s="77" t="s">
        <v>31</v>
      </c>
      <c r="B1" s="82" t="s">
        <v>32</v>
      </c>
      <c r="C1" s="78" t="s">
        <v>33</v>
      </c>
      <c r="D1" s="78" t="s">
        <v>34</v>
      </c>
      <c r="E1" s="81" t="s">
        <v>35</v>
      </c>
    </row>
    <row r="2" spans="1:6" ht="16.5" customHeight="1">
      <c r="A2" s="79">
        <f>_xlfn.XLOOKUP(C2,'ALL MEMBERS x1'!C:C,'ALL MEMBERS x1'!Q:Q)</f>
        <v>7</v>
      </c>
      <c r="B2" s="83" t="s">
        <v>36</v>
      </c>
      <c r="C2" s="210" t="s">
        <v>37</v>
      </c>
      <c r="D2" s="66" t="s">
        <v>38</v>
      </c>
      <c r="E2" s="80">
        <v>5</v>
      </c>
    </row>
    <row r="3" spans="1:6" ht="16.5" customHeight="1">
      <c r="A3" s="79">
        <f>_xlfn.XLOOKUP(C3,'ALL MEMBERS x1'!C:C,'ALL MEMBERS x1'!Q:Q)</f>
        <v>75</v>
      </c>
      <c r="B3" s="83" t="s">
        <v>36</v>
      </c>
      <c r="C3" s="210" t="s">
        <v>39</v>
      </c>
      <c r="D3" s="66" t="s">
        <v>38</v>
      </c>
      <c r="E3" s="80">
        <v>5</v>
      </c>
    </row>
    <row r="4" spans="1:6" s="37" customFormat="1" ht="16.5" customHeight="1">
      <c r="A4" s="79">
        <f>_xlfn.XLOOKUP(C4,'ALL MEMBERS x1'!C:C,'ALL MEMBERS x1'!Q:Q)</f>
        <v>228</v>
      </c>
      <c r="B4" s="83" t="s">
        <v>36</v>
      </c>
      <c r="C4" s="208" t="s">
        <v>40</v>
      </c>
      <c r="D4" s="66" t="s">
        <v>38</v>
      </c>
      <c r="E4" s="80">
        <v>5</v>
      </c>
      <c r="F4" s="36"/>
    </row>
    <row r="5" spans="1:6" ht="16.5" customHeight="1">
      <c r="A5" s="79">
        <f>_xlfn.XLOOKUP(C5,'ALL MEMBERS x1'!C:C,'ALL MEMBERS x1'!Q:Q)</f>
        <v>22</v>
      </c>
      <c r="B5" s="83" t="s">
        <v>36</v>
      </c>
      <c r="C5" s="208" t="s">
        <v>41</v>
      </c>
      <c r="D5" s="66" t="s">
        <v>38</v>
      </c>
      <c r="E5" s="80">
        <v>5</v>
      </c>
    </row>
    <row r="6" spans="1:6" ht="16.5" customHeight="1">
      <c r="A6" s="223">
        <f>'ALL MEMBERS'!A181</f>
        <v>180</v>
      </c>
      <c r="B6" s="83" t="s">
        <v>36</v>
      </c>
      <c r="C6" s="211" t="s">
        <v>42</v>
      </c>
      <c r="D6" s="206" t="s">
        <v>38</v>
      </c>
      <c r="E6" s="207">
        <v>5</v>
      </c>
      <c r="F6" s="36"/>
    </row>
    <row r="7" spans="1:6" ht="16.5" customHeight="1">
      <c r="A7" s="223">
        <f>'ALL MEMBERS'!A208</f>
        <v>207</v>
      </c>
      <c r="B7" s="83" t="s">
        <v>36</v>
      </c>
      <c r="C7" s="211" t="s">
        <v>43</v>
      </c>
      <c r="D7" s="206" t="s">
        <v>38</v>
      </c>
      <c r="E7" s="207">
        <v>5</v>
      </c>
      <c r="F7" s="36"/>
    </row>
    <row r="8" spans="1:6" ht="16.5" customHeight="1">
      <c r="A8" s="109">
        <f>_xlfn.XLOOKUP(C8,'ALL MEMBERS x1'!C:C,'ALL MEMBERS x1'!Q:Q)</f>
        <v>254</v>
      </c>
      <c r="B8" s="110" t="s">
        <v>44</v>
      </c>
      <c r="C8" s="212" t="s">
        <v>45</v>
      </c>
      <c r="D8" s="111" t="s">
        <v>38</v>
      </c>
      <c r="E8" s="112">
        <v>5</v>
      </c>
      <c r="F8" s="147"/>
    </row>
    <row r="9" spans="1:6" ht="16.5" customHeight="1">
      <c r="A9" s="79">
        <f>_xlfn.XLOOKUP(C9,'ALL MEMBERS x1'!C:C,'ALL MEMBERS x1'!Q:Q)</f>
        <v>255</v>
      </c>
      <c r="B9" s="83" t="s">
        <v>46</v>
      </c>
      <c r="C9" s="66" t="s">
        <v>47</v>
      </c>
      <c r="D9" s="66" t="s">
        <v>38</v>
      </c>
      <c r="E9" s="80">
        <v>5</v>
      </c>
      <c r="F9" s="147"/>
    </row>
    <row r="10" spans="1:6" ht="16.5" customHeight="1">
      <c r="A10" s="79">
        <f>_xlfn.XLOOKUP(C10,'ALL MEMBERS x1'!C:C,'ALL MEMBERS x1'!Q:Q)</f>
        <v>42</v>
      </c>
      <c r="B10" s="83" t="s">
        <v>46</v>
      </c>
      <c r="C10" s="66" t="s">
        <v>48</v>
      </c>
      <c r="D10" s="66" t="s">
        <v>38</v>
      </c>
      <c r="E10" s="80">
        <v>5</v>
      </c>
      <c r="F10" s="36"/>
    </row>
    <row r="11" spans="1:6" ht="16.5" customHeight="1">
      <c r="A11" s="79">
        <f>_xlfn.XLOOKUP(C11,'ALL MEMBERS x1'!C:C,'ALL MEMBERS x1'!Q:Q)</f>
        <v>197</v>
      </c>
      <c r="B11" s="83" t="s">
        <v>46</v>
      </c>
      <c r="C11" s="66" t="s">
        <v>49</v>
      </c>
      <c r="D11" s="66" t="s">
        <v>38</v>
      </c>
      <c r="E11" s="80">
        <v>5</v>
      </c>
      <c r="F11" s="36"/>
    </row>
    <row r="12" spans="1:6" ht="16.5" customHeight="1">
      <c r="A12" s="79">
        <f>_xlfn.XLOOKUP(C12,'ALL MEMBERS x1'!C:C,'ALL MEMBERS x1'!Q:Q)</f>
        <v>129</v>
      </c>
      <c r="B12" s="83">
        <v>45985</v>
      </c>
      <c r="C12" s="209" t="s">
        <v>50</v>
      </c>
      <c r="D12" s="66" t="s">
        <v>51</v>
      </c>
      <c r="E12" s="80">
        <v>5</v>
      </c>
    </row>
    <row r="13" spans="1:6" ht="16.5" customHeight="1">
      <c r="A13" s="79">
        <f>'ALL MEMBERS'!A25</f>
        <v>24</v>
      </c>
      <c r="B13" s="110">
        <v>45994</v>
      </c>
      <c r="C13" s="111" t="s">
        <v>52</v>
      </c>
      <c r="D13" s="111" t="s">
        <v>38</v>
      </c>
      <c r="E13" s="112">
        <v>5</v>
      </c>
    </row>
    <row r="14" spans="1:6" ht="16.5" customHeight="1">
      <c r="A14" s="79" t="e" vm="1">
        <f ca="1">_xlfn.XLOOKUP(C14,'ALL MEMBERS x1'!C:C,'ALL MEMBERS x1'!Q:Q)</f>
        <v>#NAME?</v>
      </c>
      <c r="B14" s="110">
        <v>46001</v>
      </c>
      <c r="C14" s="111" t="s">
        <v>53</v>
      </c>
      <c r="D14" s="111" t="s">
        <v>38</v>
      </c>
      <c r="E14" s="112">
        <v>5</v>
      </c>
    </row>
    <row r="15" spans="1:6" ht="16.5" customHeight="1">
      <c r="A15" s="79" t="e" vm="1">
        <f ca="1">_xlfn.XLOOKUP(C15,'ALL MEMBERS x1'!C:C,'ALL MEMBERS x1'!Q:Q)</f>
        <v>#NAME?</v>
      </c>
      <c r="B15" s="110">
        <v>46001</v>
      </c>
      <c r="C15" s="111" t="s">
        <v>54</v>
      </c>
      <c r="D15" s="111" t="s">
        <v>38</v>
      </c>
      <c r="E15" s="112">
        <v>5</v>
      </c>
    </row>
    <row r="16" spans="1:6" ht="16.5" customHeight="1">
      <c r="A16" s="79">
        <f>'ALL MEMBERS'!A259</f>
        <v>262</v>
      </c>
      <c r="B16" s="110">
        <v>46011</v>
      </c>
      <c r="C16" s="111" t="s">
        <v>55</v>
      </c>
      <c r="D16" s="111" t="s">
        <v>38</v>
      </c>
      <c r="E16" s="112">
        <v>5</v>
      </c>
    </row>
    <row r="17" spans="1:6" ht="16.5" customHeight="1">
      <c r="A17" s="79">
        <f>_xlfn.XLOOKUP(C17,'ALL MEMBERS x1'!C:C,'ALL MEMBERS x1'!Q:Q)</f>
        <v>11</v>
      </c>
      <c r="B17" s="110">
        <v>46027</v>
      </c>
      <c r="C17" s="111" t="s">
        <v>56</v>
      </c>
      <c r="D17" s="111" t="s">
        <v>38</v>
      </c>
      <c r="E17" s="112">
        <v>5</v>
      </c>
    </row>
    <row r="18" spans="1:6" ht="16.5" customHeight="1">
      <c r="A18" s="79">
        <f>_xlfn.XLOOKUP(C18,'ALL MEMBERS x1'!C:C,'ALL MEMBERS x1'!Q:Q)</f>
        <v>37</v>
      </c>
      <c r="B18" s="83">
        <v>46029</v>
      </c>
      <c r="C18" s="66" t="s">
        <v>57</v>
      </c>
      <c r="D18" s="111" t="s">
        <v>38</v>
      </c>
      <c r="E18" s="80">
        <v>5</v>
      </c>
    </row>
    <row r="19" spans="1:6" ht="16.5" customHeight="1">
      <c r="A19" s="79">
        <f>_xlfn.XLOOKUP(C19,'ALL MEMBERS x1'!C:C,'ALL MEMBERS x1'!Q:Q)</f>
        <v>107</v>
      </c>
      <c r="B19" s="110">
        <v>46032</v>
      </c>
      <c r="C19" s="111" t="s">
        <v>58</v>
      </c>
      <c r="D19" s="111" t="s">
        <v>38</v>
      </c>
      <c r="E19" s="112">
        <v>5</v>
      </c>
    </row>
    <row r="20" spans="1:6" ht="16.5" customHeight="1">
      <c r="A20" s="79">
        <f>_xlfn.XLOOKUP(C20,'ALL MEMBERS x1'!C:C,'ALL MEMBERS x1'!Q:Q)</f>
        <v>168</v>
      </c>
      <c r="B20" s="83">
        <v>46032</v>
      </c>
      <c r="C20" s="66" t="s">
        <v>59</v>
      </c>
      <c r="D20" s="66" t="s">
        <v>38</v>
      </c>
      <c r="E20" s="80">
        <v>5</v>
      </c>
    </row>
    <row r="21" spans="1:6" ht="16.5" customHeight="1">
      <c r="A21" s="79">
        <f>_xlfn.XLOOKUP(C21,'ALL MEMBERS x1'!C:C,'ALL MEMBERS x1'!Q:Q)</f>
        <v>110</v>
      </c>
      <c r="B21" s="83">
        <v>46032</v>
      </c>
      <c r="C21" s="66" t="s">
        <v>60</v>
      </c>
      <c r="D21" s="66" t="s">
        <v>38</v>
      </c>
      <c r="E21" s="80">
        <v>5</v>
      </c>
    </row>
    <row r="22" spans="1:6" ht="16.5" customHeight="1">
      <c r="A22" s="79">
        <f>_xlfn.XLOOKUP(C22,'ALL MEMBERS x1'!C:C,'ALL MEMBERS x1'!Q:Q)</f>
        <v>162</v>
      </c>
      <c r="B22" s="110">
        <v>46032</v>
      </c>
      <c r="C22" s="111" t="s">
        <v>61</v>
      </c>
      <c r="D22" s="111" t="s">
        <v>38</v>
      </c>
      <c r="E22" s="112">
        <v>5</v>
      </c>
    </row>
    <row r="23" spans="1:6" ht="16.5" customHeight="1">
      <c r="A23" s="79"/>
      <c r="B23" s="83" t="s">
        <v>62</v>
      </c>
      <c r="C23" s="66" t="s">
        <v>63</v>
      </c>
      <c r="D23" s="111" t="s">
        <v>38</v>
      </c>
      <c r="E23" s="112">
        <v>5</v>
      </c>
    </row>
    <row r="24" spans="1:6" ht="16.5" customHeight="1">
      <c r="A24" s="79"/>
      <c r="B24" s="262" t="s">
        <v>62</v>
      </c>
      <c r="C24" s="111" t="s">
        <v>64</v>
      </c>
      <c r="D24" s="111" t="s">
        <v>38</v>
      </c>
      <c r="E24" s="112">
        <v>5</v>
      </c>
    </row>
    <row r="25" spans="1:6" ht="16.5" customHeight="1">
      <c r="A25" s="79"/>
      <c r="B25" s="83" t="s">
        <v>62</v>
      </c>
      <c r="C25" s="43" t="s">
        <v>65</v>
      </c>
      <c r="D25" s="111" t="s">
        <v>38</v>
      </c>
      <c r="E25" s="112">
        <v>5</v>
      </c>
    </row>
    <row r="26" spans="1:6" ht="16.5" customHeight="1">
      <c r="A26" s="109"/>
      <c r="B26" s="110" t="s">
        <v>62</v>
      </c>
      <c r="C26" s="272" t="s">
        <v>66</v>
      </c>
      <c r="D26" s="111" t="s">
        <v>38</v>
      </c>
      <c r="E26" s="112">
        <v>5</v>
      </c>
    </row>
    <row r="27" spans="1:6" ht="16.5" customHeight="1">
      <c r="A27" s="79"/>
      <c r="B27" s="110">
        <v>46050</v>
      </c>
      <c r="C27" s="111" t="s">
        <v>67</v>
      </c>
      <c r="D27" s="111" t="s">
        <v>38</v>
      </c>
      <c r="E27" s="112">
        <v>5</v>
      </c>
      <c r="F27" s="39"/>
    </row>
    <row r="28" spans="1:6" ht="16.5" customHeight="1">
      <c r="A28" s="79"/>
      <c r="B28" s="110">
        <v>46133</v>
      </c>
      <c r="C28" s="111" t="s">
        <v>50</v>
      </c>
      <c r="D28" s="111" t="s">
        <v>38</v>
      </c>
      <c r="E28" s="112">
        <v>5</v>
      </c>
      <c r="F28" s="39"/>
    </row>
    <row r="29" spans="1:6" ht="16.5" customHeight="1">
      <c r="A29" s="79"/>
      <c r="B29" s="110">
        <v>46138</v>
      </c>
      <c r="C29" s="111" t="s">
        <v>37</v>
      </c>
      <c r="D29" s="111" t="s">
        <v>38</v>
      </c>
      <c r="E29" s="112">
        <v>5</v>
      </c>
      <c r="F29" s="39"/>
    </row>
    <row r="30" spans="1:6" ht="16.5" customHeight="1">
      <c r="A30" s="79"/>
      <c r="B30" s="110">
        <v>46138</v>
      </c>
      <c r="C30" s="111" t="s">
        <v>39</v>
      </c>
      <c r="D30" s="111" t="s">
        <v>38</v>
      </c>
      <c r="E30" s="112">
        <v>5</v>
      </c>
      <c r="F30" s="39"/>
    </row>
    <row r="31" spans="1:6" ht="16.5" customHeight="1">
      <c r="A31" s="79"/>
      <c r="B31" s="83" t="s">
        <v>68</v>
      </c>
      <c r="C31" s="66" t="s">
        <v>69</v>
      </c>
      <c r="D31" s="66" t="s">
        <v>38</v>
      </c>
      <c r="E31" s="80">
        <v>5</v>
      </c>
      <c r="F31" s="39"/>
    </row>
    <row r="32" spans="1:6" ht="16.5" customHeight="1">
      <c r="A32" s="79"/>
      <c r="B32" s="83" t="s">
        <v>68</v>
      </c>
      <c r="C32" s="66" t="s">
        <v>70</v>
      </c>
      <c r="D32" s="66" t="s">
        <v>38</v>
      </c>
      <c r="E32" s="80">
        <v>5</v>
      </c>
      <c r="F32" s="39"/>
    </row>
    <row r="33" spans="1:6" ht="16.5" customHeight="1">
      <c r="A33" s="79"/>
      <c r="B33" s="83" t="s">
        <v>68</v>
      </c>
      <c r="C33" s="66" t="s">
        <v>71</v>
      </c>
      <c r="D33" s="66" t="s">
        <v>38</v>
      </c>
      <c r="E33" s="80">
        <v>5</v>
      </c>
      <c r="F33" s="39"/>
    </row>
    <row r="34" spans="1:6" ht="16.5" customHeight="1">
      <c r="A34" s="79"/>
      <c r="B34" s="83" t="s">
        <v>68</v>
      </c>
      <c r="C34" s="66" t="s">
        <v>72</v>
      </c>
      <c r="D34" s="66" t="s">
        <v>38</v>
      </c>
      <c r="E34" s="80">
        <v>5</v>
      </c>
      <c r="F34" s="39"/>
    </row>
    <row r="35" spans="1:6" ht="16.5" customHeight="1">
      <c r="A35" s="79"/>
      <c r="B35" s="83" t="s">
        <v>68</v>
      </c>
      <c r="C35" s="66" t="s">
        <v>73</v>
      </c>
      <c r="D35" s="66" t="s">
        <v>38</v>
      </c>
      <c r="E35" s="80">
        <v>5</v>
      </c>
      <c r="F35" s="39"/>
    </row>
    <row r="36" spans="1:6" ht="16.5" customHeight="1">
      <c r="A36" s="79"/>
      <c r="B36" s="83" t="s">
        <v>68</v>
      </c>
      <c r="C36" s="66" t="s">
        <v>74</v>
      </c>
      <c r="D36" s="66" t="s">
        <v>38</v>
      </c>
      <c r="E36" s="80">
        <v>5</v>
      </c>
      <c r="F36" s="39"/>
    </row>
    <row r="37" spans="1:6" ht="16.5" customHeight="1">
      <c r="A37" s="79"/>
      <c r="B37" s="83" t="s">
        <v>68</v>
      </c>
      <c r="C37" s="66" t="s">
        <v>75</v>
      </c>
      <c r="D37" s="66" t="s">
        <v>38</v>
      </c>
      <c r="E37" s="80">
        <v>5</v>
      </c>
      <c r="F37" s="39"/>
    </row>
    <row r="38" spans="1:6" ht="16.5" customHeight="1">
      <c r="A38" s="79"/>
      <c r="B38" s="83" t="s">
        <v>68</v>
      </c>
      <c r="C38" s="66" t="s">
        <v>76</v>
      </c>
      <c r="D38" s="66" t="s">
        <v>38</v>
      </c>
      <c r="E38" s="80">
        <v>5</v>
      </c>
      <c r="F38" s="39"/>
    </row>
    <row r="39" spans="1:6" ht="16.5" customHeight="1">
      <c r="A39" s="79"/>
      <c r="B39" s="83"/>
      <c r="C39" s="66"/>
      <c r="D39" s="66"/>
      <c r="E39" s="80"/>
      <c r="F39" s="39"/>
    </row>
    <row r="40" spans="1:6" ht="16.5" customHeight="1">
      <c r="A40" s="79"/>
      <c r="B40" s="83"/>
      <c r="C40" s="66"/>
      <c r="D40" s="66"/>
      <c r="E40" s="80"/>
      <c r="F40" s="39"/>
    </row>
    <row r="41" spans="1:6" ht="16.5" customHeight="1">
      <c r="A41" s="79"/>
      <c r="B41" s="83"/>
      <c r="C41" s="66"/>
      <c r="D41" s="66"/>
      <c r="E41" s="80"/>
      <c r="F41" s="39"/>
    </row>
    <row r="42" spans="1:6" ht="16.5" customHeight="1">
      <c r="A42" s="79"/>
      <c r="B42" s="83"/>
      <c r="C42" s="66"/>
      <c r="D42" s="66"/>
      <c r="E42" s="80"/>
      <c r="F42" s="39"/>
    </row>
    <row r="43" spans="1:6" ht="16.5" customHeight="1">
      <c r="A43" s="79"/>
      <c r="B43" s="83"/>
      <c r="C43" s="66"/>
      <c r="D43" s="66"/>
      <c r="E43" s="80"/>
      <c r="F43" s="39"/>
    </row>
    <row r="44" spans="1:6" ht="16.5" customHeight="1">
      <c r="A44" s="33"/>
      <c r="B44" s="84"/>
      <c r="C44" s="38"/>
      <c r="D44" s="38"/>
      <c r="E44" s="273" t="s">
        <v>77</v>
      </c>
      <c r="F44" s="32"/>
    </row>
    <row r="45" spans="1:6" ht="16.5" customHeight="1">
      <c r="A45" s="33"/>
      <c r="B45" s="84"/>
      <c r="C45" s="324" t="s">
        <v>78</v>
      </c>
      <c r="D45" s="325"/>
      <c r="E45" s="40">
        <f>SUMIF(D:D,"membership fee", E:E)</f>
        <v>180</v>
      </c>
      <c r="F45" s="102"/>
    </row>
    <row r="46" spans="1:6" ht="16.5" customHeight="1">
      <c r="A46" s="34"/>
      <c r="B46" s="85"/>
      <c r="C46" s="324" t="s">
        <v>79</v>
      </c>
      <c r="D46" s="325"/>
      <c r="E46" s="40">
        <f>SUMIF(D:D,"donation", E:E)</f>
        <v>5</v>
      </c>
      <c r="F46" s="32"/>
    </row>
    <row r="47" spans="1:6" ht="16.5" customHeight="1">
      <c r="A47" s="34"/>
      <c r="B47" s="85"/>
      <c r="C47" s="326" t="s">
        <v>20</v>
      </c>
      <c r="D47" s="327"/>
      <c r="E47" s="41">
        <f>SUM(E45:E46)</f>
        <v>185</v>
      </c>
      <c r="F47" s="34"/>
    </row>
    <row r="48" spans="1:6" ht="16.5" customHeight="1">
      <c r="A48" s="34"/>
      <c r="B48" s="85"/>
      <c r="D48" s="32"/>
      <c r="F48" s="32"/>
    </row>
    <row r="49" spans="1:2" ht="16.5" customHeight="1">
      <c r="A49" s="34"/>
      <c r="B49" s="85"/>
    </row>
    <row r="50" spans="1:2" ht="16.5" customHeight="1">
      <c r="A50" s="34"/>
      <c r="B50" s="85"/>
    </row>
    <row r="51" spans="1:2" ht="16.5" customHeight="1">
      <c r="A51" s="34"/>
      <c r="B51" s="85"/>
    </row>
    <row r="52" spans="1:2" ht="16.5" customHeight="1">
      <c r="A52" s="34"/>
      <c r="B52" s="85"/>
    </row>
    <row r="53" spans="1:2" ht="16.5" customHeight="1">
      <c r="A53" s="34"/>
      <c r="B53" s="85"/>
    </row>
    <row r="54" spans="1:2" ht="16.5" customHeight="1">
      <c r="A54" s="34"/>
      <c r="B54" s="85"/>
    </row>
    <row r="55" spans="1:2" ht="16.5" customHeight="1">
      <c r="A55" s="34"/>
      <c r="B55" s="85"/>
    </row>
    <row r="56" spans="1:2" ht="16.5" customHeight="1">
      <c r="A56" s="34"/>
      <c r="B56" s="85"/>
    </row>
    <row r="57" spans="1:2" ht="16.5" customHeight="1">
      <c r="A57" s="34"/>
      <c r="B57" s="85"/>
    </row>
    <row r="58" spans="1:2" ht="16.5" customHeight="1">
      <c r="A58" s="34"/>
      <c r="B58" s="85"/>
    </row>
    <row r="59" spans="1:2" ht="16.5" customHeight="1">
      <c r="A59" s="34"/>
      <c r="B59" s="85"/>
    </row>
    <row r="60" spans="1:2" ht="16.5" customHeight="1">
      <c r="A60" s="34"/>
      <c r="B60" s="85"/>
    </row>
    <row r="61" spans="1:2" ht="16.5" customHeight="1">
      <c r="A61" s="34"/>
      <c r="B61" s="85"/>
    </row>
    <row r="62" spans="1:2" ht="16.5" customHeight="1">
      <c r="A62" s="34"/>
      <c r="B62" s="85"/>
    </row>
    <row r="63" spans="1:2" ht="16.5" customHeight="1">
      <c r="A63" s="34"/>
      <c r="B63" s="85"/>
    </row>
    <row r="64" spans="1:2" ht="16.5" customHeight="1">
      <c r="A64" s="34"/>
      <c r="B64" s="85"/>
    </row>
    <row r="65" spans="1:2" ht="16.5" customHeight="1">
      <c r="A65" s="34"/>
      <c r="B65" s="85"/>
    </row>
    <row r="66" spans="1:2" ht="16.5" customHeight="1">
      <c r="A66" s="34"/>
      <c r="B66" s="85"/>
    </row>
    <row r="67" spans="1:2" ht="16.5" customHeight="1">
      <c r="A67" s="34"/>
      <c r="B67" s="85"/>
    </row>
    <row r="68" spans="1:2" ht="16.5" customHeight="1">
      <c r="A68" s="34"/>
      <c r="B68" s="85"/>
    </row>
    <row r="69" spans="1:2" ht="16.5" customHeight="1">
      <c r="A69" s="34"/>
      <c r="B69" s="85"/>
    </row>
    <row r="70" spans="1:2" ht="16.5" customHeight="1">
      <c r="A70" s="34"/>
      <c r="B70" s="85"/>
    </row>
    <row r="71" spans="1:2" ht="16.5" customHeight="1">
      <c r="A71" s="34"/>
      <c r="B71" s="85"/>
    </row>
    <row r="72" spans="1:2" ht="16.5" customHeight="1">
      <c r="A72" s="34"/>
      <c r="B72" s="85"/>
    </row>
    <row r="73" spans="1:2" ht="16.5" customHeight="1">
      <c r="A73" s="34"/>
      <c r="B73" s="85"/>
    </row>
    <row r="74" spans="1:2" ht="16.5" customHeight="1">
      <c r="A74" s="34"/>
      <c r="B74" s="85"/>
    </row>
    <row r="75" spans="1:2" ht="16.5" customHeight="1">
      <c r="A75" s="34"/>
      <c r="B75" s="85"/>
    </row>
    <row r="76" spans="1:2" ht="16.5" customHeight="1">
      <c r="A76" s="34"/>
      <c r="B76" s="85"/>
    </row>
    <row r="77" spans="1:2" ht="16.5" customHeight="1">
      <c r="A77" s="34"/>
      <c r="B77" s="85"/>
    </row>
    <row r="78" spans="1:2" ht="16.5" customHeight="1">
      <c r="A78" s="34"/>
      <c r="B78" s="85"/>
    </row>
    <row r="79" spans="1:2" ht="16.5" customHeight="1">
      <c r="A79" s="34"/>
      <c r="B79" s="85"/>
    </row>
    <row r="80" spans="1:2" ht="16.5" customHeight="1">
      <c r="A80" s="34"/>
      <c r="B80" s="85"/>
    </row>
    <row r="81" spans="1:2" ht="16.5" customHeight="1">
      <c r="A81" s="34"/>
      <c r="B81" s="85"/>
    </row>
    <row r="82" spans="1:2" ht="16.5" customHeight="1">
      <c r="A82" s="34"/>
      <c r="B82" s="85"/>
    </row>
    <row r="83" spans="1:2" ht="16.5" customHeight="1">
      <c r="A83" s="34"/>
      <c r="B83" s="85"/>
    </row>
    <row r="84" spans="1:2" ht="16.5" customHeight="1">
      <c r="A84" s="34"/>
      <c r="B84" s="85"/>
    </row>
    <row r="85" spans="1:2" ht="16.5" customHeight="1">
      <c r="A85" s="34"/>
      <c r="B85" s="85"/>
    </row>
    <row r="86" spans="1:2" ht="16.5" customHeight="1">
      <c r="A86" s="34"/>
      <c r="B86" s="85"/>
    </row>
    <row r="87" spans="1:2" ht="16.5" customHeight="1">
      <c r="A87" s="34"/>
      <c r="B87" s="85"/>
    </row>
    <row r="88" spans="1:2" ht="16.5" customHeight="1">
      <c r="A88" s="34"/>
      <c r="B88" s="85"/>
    </row>
    <row r="89" spans="1:2" ht="16.5" customHeight="1">
      <c r="A89" s="34"/>
      <c r="B89" s="85"/>
    </row>
    <row r="90" spans="1:2" ht="16.5" customHeight="1">
      <c r="A90" s="34"/>
      <c r="B90" s="85"/>
    </row>
    <row r="91" spans="1:2" ht="16.5" customHeight="1">
      <c r="A91" s="34"/>
      <c r="B91" s="85"/>
    </row>
    <row r="92" spans="1:2" ht="16.5" customHeight="1">
      <c r="A92" s="34"/>
      <c r="B92" s="85"/>
    </row>
    <row r="93" spans="1:2" ht="16.5" customHeight="1">
      <c r="A93" s="34"/>
      <c r="B93" s="85"/>
    </row>
    <row r="94" spans="1:2" ht="16.5" customHeight="1">
      <c r="A94" s="34"/>
      <c r="B94" s="85"/>
    </row>
    <row r="95" spans="1:2" ht="16.5" customHeight="1">
      <c r="A95" s="34"/>
      <c r="B95" s="85"/>
    </row>
  </sheetData>
  <autoFilter ref="B1:E1" xr:uid="{AD33AB7A-3991-49D2-B25F-5DD6E926C63D}"/>
  <mergeCells count="3">
    <mergeCell ref="C45:D45"/>
    <mergeCell ref="C46:D46"/>
    <mergeCell ref="C47:D47"/>
  </mergeCells>
  <pageMargins left="0.7" right="0.7" top="0.75" bottom="0.75" header="0.3" footer="0.3"/>
  <headerFooter>
    <oddFooter>&amp;R_x000D_&amp;1#&amp;"Calibri"&amp;8&amp;K000000 Cisco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324A-4F09-4B2F-A3EC-3AF0EE576596}">
  <dimension ref="A1:AQ63"/>
  <sheetViews>
    <sheetView showGridLines="0" workbookViewId="0">
      <pane ySplit="1" topLeftCell="A50" activePane="bottomLeft" state="frozen"/>
      <selection pane="bottomLeft" activeCell="E64" sqref="E64"/>
    </sheetView>
  </sheetViews>
  <sheetFormatPr baseColWidth="10" defaultColWidth="9.1640625" defaultRowHeight="21.75" customHeight="1"/>
  <cols>
    <col min="1" max="1" width="12.6640625" style="121" bestFit="1" customWidth="1"/>
    <col min="2" max="2" width="11.6640625" style="128" bestFit="1" customWidth="1"/>
    <col min="3" max="3" width="8.83203125" style="129" bestFit="1" customWidth="1"/>
    <col min="4" max="4" width="12.6640625" style="129" bestFit="1" customWidth="1"/>
    <col min="5" max="5" width="22.33203125" style="129" bestFit="1" customWidth="1"/>
    <col min="6" max="6" width="24.83203125" style="129" bestFit="1" customWidth="1"/>
    <col min="7" max="7" width="10.83203125" style="129" bestFit="1" customWidth="1"/>
    <col min="8" max="8" width="11.83203125" style="121" bestFit="1" customWidth="1"/>
    <col min="9" max="9" width="11" style="137" bestFit="1" customWidth="1"/>
    <col min="10" max="10" width="10.33203125" style="137" bestFit="1" customWidth="1"/>
    <col min="11" max="11" width="11" style="137" bestFit="1" customWidth="1"/>
    <col min="12" max="12" width="29.1640625" style="121" bestFit="1" customWidth="1"/>
    <col min="13" max="13" width="24.83203125" style="121" bestFit="1" customWidth="1"/>
    <col min="14" max="14" width="22" style="121" bestFit="1" customWidth="1"/>
    <col min="15" max="15" width="84" style="121" bestFit="1" customWidth="1"/>
    <col min="16" max="16" width="17.33203125" style="121" bestFit="1" customWidth="1"/>
    <col min="17" max="17" width="39.6640625" style="121" bestFit="1" customWidth="1"/>
    <col min="18" max="18" width="10" style="121" bestFit="1" customWidth="1"/>
    <col min="19" max="19" width="32.33203125" style="121" bestFit="1" customWidth="1"/>
    <col min="20" max="20" width="20.33203125" style="121" bestFit="1" customWidth="1"/>
    <col min="21" max="21" width="7.1640625" style="121" bestFit="1" customWidth="1"/>
    <col min="22" max="22" width="36.6640625" style="121" bestFit="1" customWidth="1"/>
    <col min="23" max="23" width="18.33203125" style="121" bestFit="1" customWidth="1"/>
    <col min="24" max="24" width="17.33203125" style="121" bestFit="1" customWidth="1"/>
    <col min="25" max="25" width="16.83203125" style="121" bestFit="1" customWidth="1"/>
    <col min="26" max="26" width="19" style="121" bestFit="1" customWidth="1"/>
    <col min="27" max="27" width="18" style="121" bestFit="1" customWidth="1"/>
    <col min="28" max="28" width="18.6640625" style="121" bestFit="1" customWidth="1"/>
    <col min="29" max="29" width="11.33203125" style="121" bestFit="1" customWidth="1"/>
    <col min="30" max="30" width="13.6640625" style="121" bestFit="1" customWidth="1"/>
    <col min="31" max="31" width="10.83203125" style="121" bestFit="1" customWidth="1"/>
    <col min="32" max="32" width="19.33203125" style="121" bestFit="1" customWidth="1"/>
    <col min="33" max="33" width="39.83203125" style="121" bestFit="1" customWidth="1"/>
    <col min="34" max="34" width="12.83203125" style="121" bestFit="1" customWidth="1"/>
    <col min="35" max="35" width="11.83203125" style="121" bestFit="1" customWidth="1"/>
    <col min="36" max="36" width="12" style="121" bestFit="1" customWidth="1"/>
    <col min="37" max="37" width="15" style="121" bestFit="1" customWidth="1"/>
    <col min="38" max="38" width="25.1640625" style="121" bestFit="1" customWidth="1"/>
    <col min="39" max="39" width="101.83203125" style="121" bestFit="1" customWidth="1"/>
    <col min="40" max="40" width="130.33203125" style="121" bestFit="1" customWidth="1"/>
    <col min="41" max="41" width="16" style="121" bestFit="1" customWidth="1"/>
    <col min="42" max="42" width="17.83203125" style="121" bestFit="1" customWidth="1"/>
    <col min="43" max="16384" width="9.1640625" style="121"/>
  </cols>
  <sheetData>
    <row r="1" spans="1:42" s="120" customFormat="1" ht="38.25" customHeight="1">
      <c r="A1" s="148" t="s">
        <v>31</v>
      </c>
      <c r="B1" s="117" t="s">
        <v>32</v>
      </c>
      <c r="C1" s="118" t="s">
        <v>80</v>
      </c>
      <c r="D1" s="118" t="s">
        <v>81</v>
      </c>
      <c r="E1" s="118" t="s">
        <v>33</v>
      </c>
      <c r="F1" s="118" t="s">
        <v>34</v>
      </c>
      <c r="G1" s="118" t="s">
        <v>82</v>
      </c>
      <c r="H1" s="118" t="s">
        <v>35</v>
      </c>
      <c r="I1" s="119" t="s">
        <v>77</v>
      </c>
      <c r="J1" s="119" t="s">
        <v>83</v>
      </c>
      <c r="K1" s="119" t="s">
        <v>84</v>
      </c>
      <c r="L1" s="118" t="s">
        <v>85</v>
      </c>
      <c r="M1" s="118" t="s">
        <v>86</v>
      </c>
      <c r="N1" s="118" t="s">
        <v>87</v>
      </c>
      <c r="O1" s="118" t="s">
        <v>88</v>
      </c>
      <c r="P1" s="118" t="s">
        <v>89</v>
      </c>
      <c r="Q1" s="118" t="s">
        <v>90</v>
      </c>
      <c r="R1" s="118" t="s">
        <v>91</v>
      </c>
      <c r="S1" s="118" t="s">
        <v>92</v>
      </c>
      <c r="T1" s="118" t="s">
        <v>93</v>
      </c>
      <c r="U1" s="118" t="s">
        <v>94</v>
      </c>
      <c r="V1" s="118" t="s">
        <v>95</v>
      </c>
      <c r="W1" s="118" t="s">
        <v>96</v>
      </c>
      <c r="X1" s="118" t="s">
        <v>97</v>
      </c>
      <c r="Y1" s="118" t="s">
        <v>98</v>
      </c>
      <c r="Z1" s="118" t="s">
        <v>99</v>
      </c>
      <c r="AA1" s="118" t="s">
        <v>100</v>
      </c>
      <c r="AB1" s="118" t="s">
        <v>101</v>
      </c>
      <c r="AC1" s="118" t="s">
        <v>102</v>
      </c>
      <c r="AD1" s="118" t="s">
        <v>103</v>
      </c>
      <c r="AE1" s="118" t="s">
        <v>104</v>
      </c>
      <c r="AF1" s="118" t="s">
        <v>105</v>
      </c>
      <c r="AG1" s="118" t="s">
        <v>106</v>
      </c>
      <c r="AH1" s="118" t="s">
        <v>107</v>
      </c>
      <c r="AI1" s="118" t="s">
        <v>108</v>
      </c>
      <c r="AJ1" s="118" t="s">
        <v>109</v>
      </c>
      <c r="AK1" s="118" t="s">
        <v>110</v>
      </c>
      <c r="AL1" s="118" t="s">
        <v>111</v>
      </c>
      <c r="AM1" s="118" t="s">
        <v>112</v>
      </c>
      <c r="AN1" s="118" t="s">
        <v>113</v>
      </c>
      <c r="AO1" s="118" t="s">
        <v>114</v>
      </c>
      <c r="AP1" s="118" t="s">
        <v>115</v>
      </c>
    </row>
    <row r="2" spans="1:42" ht="21.75" customHeight="1">
      <c r="A2" s="121">
        <f>_xlfn.XLOOKUP(E2,'ALL MEMBERS x1'!C:C,'ALL MEMBERS x1'!Q:Q)</f>
        <v>2</v>
      </c>
      <c r="B2" s="122" t="s">
        <v>116</v>
      </c>
      <c r="C2" s="123">
        <v>0.81527777777777777</v>
      </c>
      <c r="D2" s="122" t="s">
        <v>117</v>
      </c>
      <c r="E2" s="122" t="s">
        <v>118</v>
      </c>
      <c r="F2" s="122" t="s">
        <v>38</v>
      </c>
      <c r="G2" s="122" t="s">
        <v>119</v>
      </c>
      <c r="H2" s="122" t="s">
        <v>120</v>
      </c>
      <c r="I2" s="124">
        <v>1</v>
      </c>
      <c r="J2" s="124">
        <v>-0.31</v>
      </c>
      <c r="K2" s="124">
        <v>0.69</v>
      </c>
      <c r="L2" s="122" t="s">
        <v>121</v>
      </c>
      <c r="M2" s="122" t="s">
        <v>122</v>
      </c>
      <c r="N2" s="122" t="s">
        <v>123</v>
      </c>
      <c r="O2" s="122" t="s">
        <v>124</v>
      </c>
      <c r="P2" s="122" t="s">
        <v>125</v>
      </c>
      <c r="Q2" s="125" t="s">
        <v>126</v>
      </c>
      <c r="R2" s="122"/>
      <c r="S2" s="122">
        <v>0</v>
      </c>
      <c r="T2" s="122"/>
      <c r="U2" s="122">
        <v>0</v>
      </c>
      <c r="V2" s="125"/>
      <c r="W2" s="122"/>
      <c r="X2" s="122"/>
      <c r="Y2" s="122"/>
      <c r="Z2" s="122"/>
      <c r="AA2" s="122"/>
      <c r="AB2" s="122"/>
      <c r="AC2" s="122">
        <v>1</v>
      </c>
      <c r="AD2" s="122">
        <v>3486484734453370</v>
      </c>
      <c r="AE2" s="122">
        <v>0.69</v>
      </c>
      <c r="AF2" s="122" t="s">
        <v>127</v>
      </c>
      <c r="AG2" s="122"/>
      <c r="AH2" s="122" t="s">
        <v>128</v>
      </c>
      <c r="AI2" s="122" t="s">
        <v>129</v>
      </c>
      <c r="AJ2" s="122" t="s">
        <v>130</v>
      </c>
      <c r="AK2" s="122" t="s">
        <v>131</v>
      </c>
      <c r="AL2" s="122"/>
      <c r="AM2" s="125" t="s">
        <v>132</v>
      </c>
      <c r="AN2" s="125"/>
      <c r="AO2" s="122" t="s">
        <v>133</v>
      </c>
      <c r="AP2" s="122" t="s">
        <v>134</v>
      </c>
    </row>
    <row r="3" spans="1:42" ht="21.75" customHeight="1">
      <c r="A3" s="121">
        <f>_xlfn.XLOOKUP(E3,'ALL MEMBERS x1'!C:C,'ALL MEMBERS x1'!Q:Q)</f>
        <v>2</v>
      </c>
      <c r="B3" s="122" t="s">
        <v>135</v>
      </c>
      <c r="C3" s="123">
        <v>0.4767939814814815</v>
      </c>
      <c r="D3" s="122" t="s">
        <v>136</v>
      </c>
      <c r="E3" s="122" t="s">
        <v>118</v>
      </c>
      <c r="F3" s="122" t="s">
        <v>38</v>
      </c>
      <c r="G3" s="122" t="s">
        <v>119</v>
      </c>
      <c r="H3" s="122" t="s">
        <v>120</v>
      </c>
      <c r="I3" s="124">
        <v>5</v>
      </c>
      <c r="J3" s="124">
        <v>-0.36</v>
      </c>
      <c r="K3" s="124">
        <v>4.6399999999999997</v>
      </c>
      <c r="L3" s="122" t="s">
        <v>121</v>
      </c>
      <c r="M3" s="122" t="s">
        <v>122</v>
      </c>
      <c r="N3" s="122" t="s">
        <v>137</v>
      </c>
      <c r="O3" s="122" t="s">
        <v>124</v>
      </c>
      <c r="P3" s="122" t="s">
        <v>125</v>
      </c>
      <c r="Q3" s="125" t="s">
        <v>126</v>
      </c>
      <c r="R3" s="122"/>
      <c r="S3" s="122">
        <v>0</v>
      </c>
      <c r="T3" s="122"/>
      <c r="U3" s="122">
        <v>0</v>
      </c>
      <c r="V3" s="125"/>
      <c r="W3" s="122"/>
      <c r="X3" s="122"/>
      <c r="Y3" s="122"/>
      <c r="Z3" s="122"/>
      <c r="AA3" s="122"/>
      <c r="AB3" s="122"/>
      <c r="AC3" s="122">
        <v>1</v>
      </c>
      <c r="AD3" s="122">
        <v>4155909288588860</v>
      </c>
      <c r="AE3" s="122">
        <v>5.33</v>
      </c>
      <c r="AF3" s="122" t="s">
        <v>127</v>
      </c>
      <c r="AG3" s="122"/>
      <c r="AH3" s="122" t="s">
        <v>128</v>
      </c>
      <c r="AI3" s="122" t="s">
        <v>129</v>
      </c>
      <c r="AJ3" s="122" t="s">
        <v>130</v>
      </c>
      <c r="AK3" s="122" t="s">
        <v>131</v>
      </c>
      <c r="AL3" s="122"/>
      <c r="AM3" s="125" t="s">
        <v>132</v>
      </c>
      <c r="AN3" s="125"/>
      <c r="AO3" s="122" t="s">
        <v>133</v>
      </c>
      <c r="AP3" s="122" t="s">
        <v>134</v>
      </c>
    </row>
    <row r="4" spans="1:42" ht="21.75" customHeight="1">
      <c r="A4" s="121">
        <f>_xlfn.XLOOKUP(E4,'ALL MEMBERS x1'!C:C,'ALL MEMBERS x1'!Q:Q)</f>
        <v>204</v>
      </c>
      <c r="B4" s="122" t="s">
        <v>135</v>
      </c>
      <c r="C4" s="123">
        <v>0.62403935185185189</v>
      </c>
      <c r="D4" s="122" t="s">
        <v>136</v>
      </c>
      <c r="E4" s="122" t="s">
        <v>138</v>
      </c>
      <c r="F4" s="122" t="s">
        <v>38</v>
      </c>
      <c r="G4" s="122" t="s">
        <v>119</v>
      </c>
      <c r="H4" s="122" t="s">
        <v>120</v>
      </c>
      <c r="I4" s="124">
        <v>5</v>
      </c>
      <c r="J4" s="124">
        <v>-0.36</v>
      </c>
      <c r="K4" s="124">
        <v>4.6399999999999997</v>
      </c>
      <c r="L4" s="122" t="s">
        <v>139</v>
      </c>
      <c r="M4" s="122" t="s">
        <v>122</v>
      </c>
      <c r="N4" s="122" t="s">
        <v>140</v>
      </c>
      <c r="O4" s="122" t="s">
        <v>141</v>
      </c>
      <c r="P4" s="122" t="s">
        <v>125</v>
      </c>
      <c r="Q4" s="125" t="s">
        <v>126</v>
      </c>
      <c r="R4" s="122"/>
      <c r="S4" s="122">
        <v>0</v>
      </c>
      <c r="T4" s="122"/>
      <c r="U4" s="122">
        <v>0</v>
      </c>
      <c r="V4" s="125"/>
      <c r="W4" s="122"/>
      <c r="X4" s="122"/>
      <c r="Y4" s="122"/>
      <c r="Z4" s="122"/>
      <c r="AA4" s="122"/>
      <c r="AB4" s="122"/>
      <c r="AC4" s="122">
        <v>1</v>
      </c>
      <c r="AD4" s="126">
        <v>958000000000000</v>
      </c>
      <c r="AE4" s="122">
        <v>9.9700000000000006</v>
      </c>
      <c r="AF4" s="122">
        <v>51</v>
      </c>
      <c r="AG4" s="122" t="s">
        <v>142</v>
      </c>
      <c r="AH4" s="122" t="s">
        <v>128</v>
      </c>
      <c r="AI4" s="122" t="s">
        <v>129</v>
      </c>
      <c r="AJ4" s="122" t="s">
        <v>143</v>
      </c>
      <c r="AK4" s="122" t="s">
        <v>131</v>
      </c>
      <c r="AL4" s="122"/>
      <c r="AM4" s="125" t="s">
        <v>132</v>
      </c>
      <c r="AN4" s="125"/>
      <c r="AO4" s="122" t="s">
        <v>133</v>
      </c>
      <c r="AP4" s="122" t="s">
        <v>134</v>
      </c>
    </row>
    <row r="5" spans="1:42" ht="21.75" customHeight="1">
      <c r="A5" s="121">
        <f>_xlfn.XLOOKUP(E5,'ALL MEMBERS x1'!C:C,'ALL MEMBERS x1'!Q:Q)</f>
        <v>2</v>
      </c>
      <c r="B5" s="122" t="s">
        <v>135</v>
      </c>
      <c r="C5" s="123">
        <v>0.71159722222222221</v>
      </c>
      <c r="D5" s="122" t="s">
        <v>136</v>
      </c>
      <c r="E5" s="122" t="s">
        <v>118</v>
      </c>
      <c r="F5" s="122" t="s">
        <v>38</v>
      </c>
      <c r="G5" s="122" t="s">
        <v>119</v>
      </c>
      <c r="H5" s="122" t="s">
        <v>120</v>
      </c>
      <c r="I5" s="124">
        <v>1</v>
      </c>
      <c r="J5" s="124">
        <v>-0.33</v>
      </c>
      <c r="K5" s="124">
        <v>0.67</v>
      </c>
      <c r="L5" s="122" t="s">
        <v>4</v>
      </c>
      <c r="M5" s="122" t="s">
        <v>122</v>
      </c>
      <c r="N5" s="122" t="s">
        <v>144</v>
      </c>
      <c r="O5" s="122" t="s">
        <v>124</v>
      </c>
      <c r="P5" s="122" t="s">
        <v>125</v>
      </c>
      <c r="Q5" s="125"/>
      <c r="R5" s="122"/>
      <c r="S5" s="122"/>
      <c r="T5" s="122"/>
      <c r="U5" s="122"/>
      <c r="V5" s="125"/>
      <c r="W5" s="122"/>
      <c r="X5" s="122"/>
      <c r="Y5" s="122"/>
      <c r="Z5" s="122"/>
      <c r="AA5" s="122"/>
      <c r="AB5" s="122"/>
      <c r="AC5" s="122"/>
      <c r="AD5" s="122"/>
      <c r="AE5" s="122">
        <v>10.64</v>
      </c>
      <c r="AF5" s="122" t="s">
        <v>127</v>
      </c>
      <c r="AG5" s="122"/>
      <c r="AH5" s="122" t="s">
        <v>128</v>
      </c>
      <c r="AI5" s="122" t="s">
        <v>129</v>
      </c>
      <c r="AJ5" s="122" t="s">
        <v>130</v>
      </c>
      <c r="AK5" s="122" t="s">
        <v>131</v>
      </c>
      <c r="AL5" s="122">
        <v>7825852680</v>
      </c>
      <c r="AM5" s="125"/>
      <c r="AN5" s="125" t="s">
        <v>145</v>
      </c>
      <c r="AO5" s="122" t="s">
        <v>133</v>
      </c>
      <c r="AP5" s="122" t="s">
        <v>134</v>
      </c>
    </row>
    <row r="6" spans="1:42" ht="21.75" customHeight="1">
      <c r="A6" s="121">
        <f>_xlfn.XLOOKUP(E6,'ALL MEMBERS x1'!C:C,'ALL MEMBERS x1'!Q:Q)</f>
        <v>2</v>
      </c>
      <c r="B6" s="127">
        <v>45727</v>
      </c>
      <c r="C6" s="123">
        <v>0.53766203703703708</v>
      </c>
      <c r="D6" s="122" t="s">
        <v>136</v>
      </c>
      <c r="E6" s="122" t="s">
        <v>118</v>
      </c>
      <c r="F6" s="122" t="s">
        <v>38</v>
      </c>
      <c r="G6" s="122" t="s">
        <v>119</v>
      </c>
      <c r="H6" s="122" t="s">
        <v>120</v>
      </c>
      <c r="I6" s="124">
        <v>5</v>
      </c>
      <c r="J6" s="124">
        <v>-0.45</v>
      </c>
      <c r="K6" s="124">
        <v>4.55</v>
      </c>
      <c r="L6" s="122" t="s">
        <v>4</v>
      </c>
      <c r="M6" s="122" t="s">
        <v>122</v>
      </c>
      <c r="N6" s="122" t="s">
        <v>146</v>
      </c>
      <c r="O6" s="122" t="s">
        <v>124</v>
      </c>
      <c r="P6" s="122" t="s">
        <v>125</v>
      </c>
      <c r="Q6" s="125"/>
      <c r="R6" s="122"/>
      <c r="S6" s="122"/>
      <c r="T6" s="122"/>
      <c r="U6" s="122"/>
      <c r="V6" s="125"/>
      <c r="W6" s="122"/>
      <c r="X6" s="122"/>
      <c r="Y6" s="122"/>
      <c r="Z6" s="122"/>
      <c r="AA6" s="122"/>
      <c r="AB6" s="122"/>
      <c r="AC6" s="122"/>
      <c r="AD6" s="122"/>
      <c r="AE6" s="122">
        <v>15.19</v>
      </c>
      <c r="AF6" s="122" t="s">
        <v>127</v>
      </c>
      <c r="AG6" s="122"/>
      <c r="AH6" s="122" t="s">
        <v>128</v>
      </c>
      <c r="AI6" s="122" t="s">
        <v>129</v>
      </c>
      <c r="AJ6" s="122" t="s">
        <v>130</v>
      </c>
      <c r="AK6" s="122" t="s">
        <v>131</v>
      </c>
      <c r="AL6" s="122">
        <v>7825852680</v>
      </c>
      <c r="AM6" s="125"/>
      <c r="AN6" s="125" t="s">
        <v>147</v>
      </c>
      <c r="AO6" s="122" t="s">
        <v>133</v>
      </c>
      <c r="AP6" s="122" t="s">
        <v>134</v>
      </c>
    </row>
    <row r="7" spans="1:42" ht="21.75" customHeight="1">
      <c r="A7" s="121">
        <f>_xlfn.XLOOKUP(E7,'ALL MEMBERS x1'!C:C,'ALL MEMBERS x1'!Q:Q)</f>
        <v>2</v>
      </c>
      <c r="B7" s="127">
        <v>45788</v>
      </c>
      <c r="C7" s="123">
        <v>0.73603009259259256</v>
      </c>
      <c r="D7" s="122" t="s">
        <v>136</v>
      </c>
      <c r="E7" s="122" t="s">
        <v>118</v>
      </c>
      <c r="F7" s="122" t="s">
        <v>38</v>
      </c>
      <c r="G7" s="122" t="s">
        <v>119</v>
      </c>
      <c r="H7" s="122" t="s">
        <v>120</v>
      </c>
      <c r="I7" s="124">
        <v>1</v>
      </c>
      <c r="J7" s="124">
        <v>-0.31</v>
      </c>
      <c r="K7" s="124">
        <v>0.69</v>
      </c>
      <c r="L7" s="122" t="s">
        <v>121</v>
      </c>
      <c r="M7" s="122" t="s">
        <v>122</v>
      </c>
      <c r="N7" s="122" t="s">
        <v>148</v>
      </c>
      <c r="O7" s="122" t="s">
        <v>124</v>
      </c>
      <c r="P7" s="122" t="s">
        <v>125</v>
      </c>
      <c r="Q7" s="125" t="s">
        <v>149</v>
      </c>
      <c r="R7" s="122"/>
      <c r="S7" s="122">
        <v>0</v>
      </c>
      <c r="T7" s="122"/>
      <c r="U7" s="122">
        <v>0</v>
      </c>
      <c r="V7" s="125"/>
      <c r="W7" s="122"/>
      <c r="X7" s="122"/>
      <c r="Y7" s="122"/>
      <c r="Z7" s="122"/>
      <c r="AA7" s="122"/>
      <c r="AB7" s="122"/>
      <c r="AC7" s="122">
        <v>1</v>
      </c>
      <c r="AD7" s="122">
        <v>1067684059104900</v>
      </c>
      <c r="AE7" s="122">
        <v>15.88</v>
      </c>
      <c r="AF7" s="122" t="s">
        <v>127</v>
      </c>
      <c r="AG7" s="122"/>
      <c r="AH7" s="122" t="s">
        <v>128</v>
      </c>
      <c r="AI7" s="122" t="s">
        <v>129</v>
      </c>
      <c r="AJ7" s="122" t="s">
        <v>130</v>
      </c>
      <c r="AK7" s="122" t="s">
        <v>131</v>
      </c>
      <c r="AL7" s="122"/>
      <c r="AM7" s="125" t="s">
        <v>150</v>
      </c>
      <c r="AN7" s="125"/>
      <c r="AO7" s="122" t="s">
        <v>133</v>
      </c>
      <c r="AP7" s="122" t="s">
        <v>134</v>
      </c>
    </row>
    <row r="8" spans="1:42" ht="21.75" customHeight="1">
      <c r="A8" s="121">
        <f>_xlfn.XLOOKUP(E8,'ALL MEMBERS x1'!C:C,'ALL MEMBERS x1'!Q:Q)</f>
        <v>2</v>
      </c>
      <c r="B8" s="127">
        <v>45788</v>
      </c>
      <c r="C8" s="123">
        <v>0.73768518518518522</v>
      </c>
      <c r="D8" s="122" t="s">
        <v>136</v>
      </c>
      <c r="E8" s="122" t="s">
        <v>118</v>
      </c>
      <c r="F8" s="122" t="s">
        <v>38</v>
      </c>
      <c r="G8" s="122" t="s">
        <v>119</v>
      </c>
      <c r="H8" s="122" t="s">
        <v>120</v>
      </c>
      <c r="I8" s="124">
        <v>1</v>
      </c>
      <c r="J8" s="124">
        <v>-0.31</v>
      </c>
      <c r="K8" s="124">
        <v>0.69</v>
      </c>
      <c r="L8" s="122" t="s">
        <v>121</v>
      </c>
      <c r="M8" s="122" t="s">
        <v>122</v>
      </c>
      <c r="N8" s="122" t="s">
        <v>151</v>
      </c>
      <c r="O8" s="122" t="s">
        <v>124</v>
      </c>
      <c r="P8" s="122" t="s">
        <v>125</v>
      </c>
      <c r="Q8" s="125" t="s">
        <v>152</v>
      </c>
      <c r="R8" s="122"/>
      <c r="S8" s="122">
        <v>0</v>
      </c>
      <c r="T8" s="122"/>
      <c r="U8" s="122">
        <v>0</v>
      </c>
      <c r="V8" s="125" t="s">
        <v>153</v>
      </c>
      <c r="W8" s="122" t="s">
        <v>154</v>
      </c>
      <c r="X8" s="122"/>
      <c r="Y8" s="122"/>
      <c r="Z8" s="122"/>
      <c r="AA8" s="122"/>
      <c r="AB8" s="122"/>
      <c r="AC8" s="122">
        <v>1</v>
      </c>
      <c r="AD8" s="126">
        <v>925000000000000</v>
      </c>
      <c r="AE8" s="122">
        <v>16.57</v>
      </c>
      <c r="AF8" s="122" t="s">
        <v>127</v>
      </c>
      <c r="AG8" s="122"/>
      <c r="AH8" s="122" t="s">
        <v>128</v>
      </c>
      <c r="AI8" s="122" t="s">
        <v>129</v>
      </c>
      <c r="AJ8" s="122" t="s">
        <v>130</v>
      </c>
      <c r="AK8" s="122" t="s">
        <v>131</v>
      </c>
      <c r="AL8" s="122"/>
      <c r="AM8" s="125" t="s">
        <v>155</v>
      </c>
      <c r="AN8" s="125"/>
      <c r="AO8" s="122" t="s">
        <v>133</v>
      </c>
      <c r="AP8" s="122" t="s">
        <v>134</v>
      </c>
    </row>
    <row r="9" spans="1:42" ht="21.75" customHeight="1">
      <c r="A9" s="121">
        <f>_xlfn.XLOOKUP(E9,'ALL MEMBERS x1'!C:C,'ALL MEMBERS x1'!Q:Q)</f>
        <v>253</v>
      </c>
      <c r="B9" s="122" t="s">
        <v>156</v>
      </c>
      <c r="C9" s="123">
        <v>0.37459490740740742</v>
      </c>
      <c r="D9" s="122" t="s">
        <v>136</v>
      </c>
      <c r="E9" s="122" t="s">
        <v>157</v>
      </c>
      <c r="F9" s="122" t="s">
        <v>38</v>
      </c>
      <c r="G9" s="122" t="s">
        <v>119</v>
      </c>
      <c r="H9" s="122" t="s">
        <v>120</v>
      </c>
      <c r="I9" s="124">
        <v>5</v>
      </c>
      <c r="J9" s="124">
        <v>-0.45</v>
      </c>
      <c r="K9" s="124">
        <v>4.55</v>
      </c>
      <c r="L9" s="121" t="s">
        <v>158</v>
      </c>
      <c r="M9" s="122" t="s">
        <v>122</v>
      </c>
      <c r="N9" s="122" t="s">
        <v>159</v>
      </c>
      <c r="O9" s="122" t="s">
        <v>160</v>
      </c>
      <c r="P9" s="122" t="s">
        <v>125</v>
      </c>
      <c r="Q9" s="125"/>
      <c r="R9" s="122"/>
      <c r="S9" s="122"/>
      <c r="T9" s="122"/>
      <c r="U9" s="122"/>
      <c r="V9" s="125"/>
      <c r="W9" s="122"/>
      <c r="X9" s="122"/>
      <c r="Y9" s="122"/>
      <c r="Z9" s="122"/>
      <c r="AA9" s="122"/>
      <c r="AB9" s="122"/>
      <c r="AC9" s="122"/>
      <c r="AD9" s="122"/>
      <c r="AE9" s="122">
        <v>21.12</v>
      </c>
      <c r="AF9" s="122" t="s">
        <v>161</v>
      </c>
      <c r="AG9" s="122"/>
      <c r="AH9" s="122" t="s">
        <v>128</v>
      </c>
      <c r="AI9" s="122" t="s">
        <v>162</v>
      </c>
      <c r="AJ9" s="122" t="s">
        <v>163</v>
      </c>
      <c r="AK9" s="122" t="s">
        <v>131</v>
      </c>
      <c r="AL9" s="122">
        <v>7795172052</v>
      </c>
      <c r="AM9" s="125"/>
      <c r="AN9" s="125"/>
      <c r="AO9" s="122" t="s">
        <v>133</v>
      </c>
      <c r="AP9" s="122" t="s">
        <v>134</v>
      </c>
    </row>
    <row r="10" spans="1:42" ht="21.75" customHeight="1">
      <c r="A10" s="121">
        <f>_xlfn.XLOOKUP(E10,'ALL MEMBERS x1'!C:C,'ALL MEMBERS x1'!Q:Q)</f>
        <v>2</v>
      </c>
      <c r="B10" s="122" t="s">
        <v>164</v>
      </c>
      <c r="C10" s="123">
        <v>0.92210648148148144</v>
      </c>
      <c r="D10" s="122" t="s">
        <v>136</v>
      </c>
      <c r="E10" s="122" t="s">
        <v>118</v>
      </c>
      <c r="F10" s="122" t="s">
        <v>38</v>
      </c>
      <c r="G10" s="122" t="s">
        <v>119</v>
      </c>
      <c r="H10" s="122" t="s">
        <v>120</v>
      </c>
      <c r="I10" s="124">
        <v>1</v>
      </c>
      <c r="J10" s="124">
        <v>-0.33</v>
      </c>
      <c r="K10" s="124">
        <v>0.67</v>
      </c>
      <c r="L10" s="122" t="s">
        <v>4</v>
      </c>
      <c r="M10" s="122" t="s">
        <v>122</v>
      </c>
      <c r="N10" s="122" t="s">
        <v>165</v>
      </c>
      <c r="O10" s="122" t="s">
        <v>124</v>
      </c>
      <c r="P10" s="122" t="s">
        <v>125</v>
      </c>
      <c r="Q10" s="125"/>
      <c r="R10" s="122"/>
      <c r="S10" s="122"/>
      <c r="T10" s="122"/>
      <c r="U10" s="122"/>
      <c r="V10" s="125"/>
      <c r="W10" s="122"/>
      <c r="X10" s="122"/>
      <c r="Y10" s="122"/>
      <c r="Z10" s="122"/>
      <c r="AA10" s="122"/>
      <c r="AB10" s="122"/>
      <c r="AC10" s="122"/>
      <c r="AD10" s="122"/>
      <c r="AE10" s="122">
        <v>21.79</v>
      </c>
      <c r="AF10" s="122" t="s">
        <v>127</v>
      </c>
      <c r="AG10" s="122"/>
      <c r="AH10" s="122" t="s">
        <v>128</v>
      </c>
      <c r="AI10" s="122" t="s">
        <v>129</v>
      </c>
      <c r="AJ10" s="122" t="s">
        <v>130</v>
      </c>
      <c r="AK10" s="122" t="s">
        <v>131</v>
      </c>
      <c r="AL10" s="122">
        <v>7825852680</v>
      </c>
      <c r="AM10" s="125"/>
      <c r="AN10" s="125" t="s">
        <v>166</v>
      </c>
      <c r="AO10" s="122" t="s">
        <v>133</v>
      </c>
      <c r="AP10" s="122" t="s">
        <v>134</v>
      </c>
    </row>
    <row r="11" spans="1:42" ht="21.75" customHeight="1">
      <c r="A11" s="121">
        <f>_xlfn.XLOOKUP(E11,'ALL MEMBERS x1'!C:C,'ALL MEMBERS x1'!Q:Q)</f>
        <v>2</v>
      </c>
      <c r="B11" s="122" t="s">
        <v>164</v>
      </c>
      <c r="C11" s="123">
        <v>0.93003472222222228</v>
      </c>
      <c r="D11" s="122" t="s">
        <v>136</v>
      </c>
      <c r="E11" s="122" t="s">
        <v>118</v>
      </c>
      <c r="F11" s="122" t="s">
        <v>38</v>
      </c>
      <c r="G11" s="122" t="s">
        <v>119</v>
      </c>
      <c r="H11" s="122" t="s">
        <v>120</v>
      </c>
      <c r="I11" s="124">
        <v>1</v>
      </c>
      <c r="J11" s="124">
        <v>-0.31</v>
      </c>
      <c r="K11" s="124">
        <v>0.69</v>
      </c>
      <c r="L11" s="122" t="s">
        <v>121</v>
      </c>
      <c r="M11" s="122" t="s">
        <v>122</v>
      </c>
      <c r="N11" s="122" t="s">
        <v>167</v>
      </c>
      <c r="O11" s="122" t="s">
        <v>124</v>
      </c>
      <c r="P11" s="122" t="s">
        <v>125</v>
      </c>
      <c r="Q11" s="125" t="s">
        <v>149</v>
      </c>
      <c r="R11" s="122"/>
      <c r="S11" s="122">
        <v>0</v>
      </c>
      <c r="T11" s="122"/>
      <c r="U11" s="122">
        <v>0</v>
      </c>
      <c r="V11" s="125"/>
      <c r="W11" s="122"/>
      <c r="X11" s="122"/>
      <c r="Y11" s="122"/>
      <c r="Z11" s="122"/>
      <c r="AA11" s="122"/>
      <c r="AB11" s="122"/>
      <c r="AC11" s="122">
        <v>1</v>
      </c>
      <c r="AD11" s="122">
        <v>5541244257977440</v>
      </c>
      <c r="AE11" s="122">
        <v>22.48</v>
      </c>
      <c r="AF11" s="122" t="s">
        <v>127</v>
      </c>
      <c r="AG11" s="122"/>
      <c r="AH11" s="122" t="s">
        <v>128</v>
      </c>
      <c r="AI11" s="122" t="s">
        <v>129</v>
      </c>
      <c r="AJ11" s="122" t="s">
        <v>130</v>
      </c>
      <c r="AK11" s="122" t="s">
        <v>131</v>
      </c>
      <c r="AL11" s="122"/>
      <c r="AM11" s="125" t="s">
        <v>150</v>
      </c>
      <c r="AN11" s="125"/>
      <c r="AO11" s="122" t="s">
        <v>133</v>
      </c>
      <c r="AP11" s="122" t="s">
        <v>134</v>
      </c>
    </row>
    <row r="12" spans="1:42" ht="21.75" customHeight="1">
      <c r="A12" s="121">
        <f>_xlfn.XLOOKUP(E12,'ALL MEMBERS x1'!C:C,'ALL MEMBERS x1'!Q:Q)</f>
        <v>2</v>
      </c>
      <c r="B12" s="122" t="s">
        <v>164</v>
      </c>
      <c r="C12" s="123">
        <v>0.93085648148148148</v>
      </c>
      <c r="D12" s="122" t="s">
        <v>136</v>
      </c>
      <c r="E12" s="122" t="s">
        <v>118</v>
      </c>
      <c r="F12" s="122" t="s">
        <v>38</v>
      </c>
      <c r="G12" s="122" t="s">
        <v>119</v>
      </c>
      <c r="H12" s="122" t="s">
        <v>120</v>
      </c>
      <c r="I12" s="124">
        <v>1</v>
      </c>
      <c r="J12" s="124">
        <v>-0.33</v>
      </c>
      <c r="K12" s="124">
        <v>0.67</v>
      </c>
      <c r="L12" s="122" t="s">
        <v>4</v>
      </c>
      <c r="M12" s="122" t="s">
        <v>122</v>
      </c>
      <c r="N12" s="122" t="s">
        <v>168</v>
      </c>
      <c r="O12" s="122" t="s">
        <v>124</v>
      </c>
      <c r="P12" s="122" t="s">
        <v>125</v>
      </c>
      <c r="Q12" s="125"/>
      <c r="R12" s="122"/>
      <c r="S12" s="122"/>
      <c r="T12" s="122"/>
      <c r="U12" s="122"/>
      <c r="V12" s="125"/>
      <c r="W12" s="122"/>
      <c r="X12" s="122"/>
      <c r="Y12" s="122"/>
      <c r="Z12" s="122"/>
      <c r="AA12" s="122"/>
      <c r="AB12" s="122"/>
      <c r="AC12" s="122"/>
      <c r="AD12" s="122"/>
      <c r="AE12" s="122">
        <v>23.15</v>
      </c>
      <c r="AF12" s="122" t="s">
        <v>127</v>
      </c>
      <c r="AG12" s="122"/>
      <c r="AH12" s="122" t="s">
        <v>128</v>
      </c>
      <c r="AI12" s="122" t="s">
        <v>129</v>
      </c>
      <c r="AJ12" s="122" t="s">
        <v>130</v>
      </c>
      <c r="AK12" s="122" t="s">
        <v>131</v>
      </c>
      <c r="AL12" s="122">
        <v>7825852680</v>
      </c>
      <c r="AM12" s="125"/>
      <c r="AN12" s="125" t="s">
        <v>169</v>
      </c>
      <c r="AO12" s="122" t="s">
        <v>133</v>
      </c>
      <c r="AP12" s="122" t="s">
        <v>134</v>
      </c>
    </row>
    <row r="13" spans="1:42" ht="21.75" customHeight="1">
      <c r="A13" s="121">
        <f>_xlfn.XLOOKUP(E13,'ALL MEMBERS x1'!C:C,'ALL MEMBERS x1'!Q:Q)</f>
        <v>242</v>
      </c>
      <c r="B13" s="122" t="s">
        <v>170</v>
      </c>
      <c r="C13" s="123">
        <v>0.90726851851851853</v>
      </c>
      <c r="D13" s="122" t="s">
        <v>136</v>
      </c>
      <c r="E13" s="122" t="s">
        <v>171</v>
      </c>
      <c r="F13" s="122" t="s">
        <v>38</v>
      </c>
      <c r="G13" s="122" t="s">
        <v>119</v>
      </c>
      <c r="H13" s="122" t="s">
        <v>120</v>
      </c>
      <c r="I13" s="124">
        <v>5</v>
      </c>
      <c r="J13" s="124">
        <v>-0.45</v>
      </c>
      <c r="K13" s="124">
        <v>4.55</v>
      </c>
      <c r="L13" s="122" t="s">
        <v>172</v>
      </c>
      <c r="M13" s="122" t="s">
        <v>122</v>
      </c>
      <c r="N13" s="122" t="s">
        <v>173</v>
      </c>
      <c r="O13" s="122" t="s">
        <v>174</v>
      </c>
      <c r="P13" s="122" t="s">
        <v>175</v>
      </c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>
        <v>27.7</v>
      </c>
      <c r="AF13" s="122" t="s">
        <v>176</v>
      </c>
      <c r="AG13" s="122"/>
      <c r="AH13" s="122" t="s">
        <v>177</v>
      </c>
      <c r="AI13" s="122" t="s">
        <v>162</v>
      </c>
      <c r="AJ13" s="122" t="s">
        <v>178</v>
      </c>
      <c r="AK13" s="122" t="s">
        <v>131</v>
      </c>
      <c r="AL13" s="126">
        <v>7890000000</v>
      </c>
      <c r="AM13" s="122"/>
      <c r="AN13" s="122"/>
      <c r="AO13" s="122" t="s">
        <v>133</v>
      </c>
      <c r="AP13" s="122" t="s">
        <v>134</v>
      </c>
    </row>
    <row r="14" spans="1:42" ht="21.75" customHeight="1">
      <c r="A14" s="121">
        <f>_xlfn.XLOOKUP(E14,'ALL MEMBERS x1'!C:C,'ALL MEMBERS x1'!Q:Q)</f>
        <v>130</v>
      </c>
      <c r="B14" s="122" t="s">
        <v>170</v>
      </c>
      <c r="C14" s="123">
        <v>0.91950231481481481</v>
      </c>
      <c r="D14" s="122" t="s">
        <v>136</v>
      </c>
      <c r="E14" s="122" t="s">
        <v>179</v>
      </c>
      <c r="F14" s="122" t="s">
        <v>38</v>
      </c>
      <c r="G14" s="122" t="s">
        <v>119</v>
      </c>
      <c r="H14" s="122" t="s">
        <v>120</v>
      </c>
      <c r="I14" s="124">
        <v>5</v>
      </c>
      <c r="J14" s="124">
        <v>-0.45</v>
      </c>
      <c r="K14" s="124">
        <v>4.55</v>
      </c>
      <c r="L14" s="122" t="s">
        <v>180</v>
      </c>
      <c r="M14" s="122" t="s">
        <v>122</v>
      </c>
      <c r="N14" s="122" t="s">
        <v>181</v>
      </c>
      <c r="O14" s="122" t="s">
        <v>182</v>
      </c>
      <c r="P14" s="122" t="s">
        <v>125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>
        <v>32.25</v>
      </c>
      <c r="AF14" s="122" t="s">
        <v>183</v>
      </c>
      <c r="AG14" s="122"/>
      <c r="AH14" s="122" t="s">
        <v>128</v>
      </c>
      <c r="AI14" s="122" t="s">
        <v>162</v>
      </c>
      <c r="AJ14" s="122" t="s">
        <v>184</v>
      </c>
      <c r="AK14" s="122" t="s">
        <v>131</v>
      </c>
      <c r="AL14" s="126">
        <v>7920000000</v>
      </c>
      <c r="AM14" s="122"/>
      <c r="AN14" s="122" t="s">
        <v>185</v>
      </c>
      <c r="AO14" s="122" t="s">
        <v>133</v>
      </c>
      <c r="AP14" s="122" t="s">
        <v>134</v>
      </c>
    </row>
    <row r="15" spans="1:42" ht="21.75" customHeight="1">
      <c r="A15" s="121">
        <f>_xlfn.XLOOKUP(E15,'ALL MEMBERS x1'!C:C,'ALL MEMBERS x1'!Q:Q)</f>
        <v>251</v>
      </c>
      <c r="B15" s="122" t="s">
        <v>170</v>
      </c>
      <c r="C15" s="123">
        <v>0.96206018518518521</v>
      </c>
      <c r="D15" s="122" t="s">
        <v>136</v>
      </c>
      <c r="E15" s="122" t="s">
        <v>186</v>
      </c>
      <c r="F15" s="122" t="s">
        <v>38</v>
      </c>
      <c r="G15" s="122" t="s">
        <v>119</v>
      </c>
      <c r="H15" s="122" t="s">
        <v>120</v>
      </c>
      <c r="I15" s="124">
        <v>5</v>
      </c>
      <c r="J15" s="124">
        <v>-0.36</v>
      </c>
      <c r="K15" s="124">
        <v>4.6399999999999997</v>
      </c>
      <c r="L15" s="122" t="s">
        <v>187</v>
      </c>
      <c r="M15" s="122" t="s">
        <v>122</v>
      </c>
      <c r="N15" s="122" t="s">
        <v>188</v>
      </c>
      <c r="O15" s="122" t="s">
        <v>189</v>
      </c>
      <c r="P15" s="122" t="s">
        <v>125</v>
      </c>
      <c r="Q15" s="122" t="s">
        <v>149</v>
      </c>
      <c r="R15" s="122"/>
      <c r="S15" s="122">
        <v>0</v>
      </c>
      <c r="T15" s="122"/>
      <c r="U15" s="122">
        <v>0</v>
      </c>
      <c r="V15" s="122"/>
      <c r="W15" s="122"/>
      <c r="X15" s="122"/>
      <c r="Y15" s="122"/>
      <c r="Z15" s="122"/>
      <c r="AA15" s="122"/>
      <c r="AB15" s="122"/>
      <c r="AC15" s="122">
        <v>1</v>
      </c>
      <c r="AD15" s="126">
        <v>5500000000000000</v>
      </c>
      <c r="AE15" s="122">
        <v>36.89</v>
      </c>
      <c r="AF15" s="122" t="s">
        <v>190</v>
      </c>
      <c r="AG15" s="122"/>
      <c r="AH15" s="122" t="s">
        <v>128</v>
      </c>
      <c r="AI15" s="122" t="s">
        <v>191</v>
      </c>
      <c r="AJ15" s="122" t="s">
        <v>192</v>
      </c>
      <c r="AK15" s="122" t="s">
        <v>131</v>
      </c>
      <c r="AL15" s="122"/>
      <c r="AM15" s="122" t="s">
        <v>150</v>
      </c>
      <c r="AN15" s="122"/>
      <c r="AO15" s="122" t="s">
        <v>133</v>
      </c>
      <c r="AP15" s="122" t="s">
        <v>134</v>
      </c>
    </row>
    <row r="16" spans="1:42" ht="21.75" customHeight="1">
      <c r="A16" s="121">
        <f>_xlfn.XLOOKUP(E16,'ALL MEMBERS x1'!C:C,'ALL MEMBERS x1'!Q:Q)</f>
        <v>56</v>
      </c>
      <c r="B16" s="122" t="s">
        <v>193</v>
      </c>
      <c r="C16" s="123">
        <v>0.59204861111111107</v>
      </c>
      <c r="D16" s="122" t="s">
        <v>136</v>
      </c>
      <c r="E16" s="122" t="s">
        <v>194</v>
      </c>
      <c r="F16" s="122" t="s">
        <v>38</v>
      </c>
      <c r="G16" s="122" t="s">
        <v>119</v>
      </c>
      <c r="H16" s="122" t="s">
        <v>120</v>
      </c>
      <c r="I16" s="124">
        <v>5</v>
      </c>
      <c r="J16" s="124">
        <v>-0.45</v>
      </c>
      <c r="K16" s="124">
        <v>4.55</v>
      </c>
      <c r="L16" s="122" t="s">
        <v>195</v>
      </c>
      <c r="M16" s="122" t="s">
        <v>122</v>
      </c>
      <c r="N16" s="122" t="s">
        <v>196</v>
      </c>
      <c r="O16" s="122" t="s">
        <v>197</v>
      </c>
      <c r="P16" s="122" t="s">
        <v>175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>
        <v>41.44</v>
      </c>
      <c r="AF16" s="122" t="s">
        <v>198</v>
      </c>
      <c r="AG16" s="122"/>
      <c r="AH16" s="122" t="s">
        <v>199</v>
      </c>
      <c r="AI16" s="122" t="s">
        <v>162</v>
      </c>
      <c r="AJ16" s="122" t="s">
        <v>200</v>
      </c>
      <c r="AK16" s="122" t="s">
        <v>131</v>
      </c>
      <c r="AL16" s="126">
        <v>7870000000</v>
      </c>
      <c r="AM16" s="122"/>
      <c r="AN16" s="122"/>
      <c r="AO16" s="122" t="s">
        <v>133</v>
      </c>
      <c r="AP16" s="122" t="s">
        <v>134</v>
      </c>
    </row>
    <row r="17" spans="1:43" ht="21.75" customHeight="1">
      <c r="A17" s="121">
        <f>_xlfn.XLOOKUP(E17,'ALL MEMBERS x1'!C:C,'ALL MEMBERS x1'!Q:Q)</f>
        <v>200</v>
      </c>
      <c r="B17" s="122" t="s">
        <v>193</v>
      </c>
      <c r="C17" s="123">
        <v>0.63249999999999995</v>
      </c>
      <c r="D17" s="122" t="s">
        <v>136</v>
      </c>
      <c r="E17" s="122" t="s">
        <v>201</v>
      </c>
      <c r="F17" s="122" t="s">
        <v>38</v>
      </c>
      <c r="G17" s="122" t="s">
        <v>119</v>
      </c>
      <c r="H17" s="122" t="s">
        <v>120</v>
      </c>
      <c r="I17" s="124">
        <v>5</v>
      </c>
      <c r="J17" s="124">
        <v>-0.36</v>
      </c>
      <c r="K17" s="124">
        <v>4.6399999999999997</v>
      </c>
      <c r="L17" s="122" t="s">
        <v>202</v>
      </c>
      <c r="M17" s="122" t="s">
        <v>122</v>
      </c>
      <c r="N17" s="122" t="s">
        <v>203</v>
      </c>
      <c r="O17" s="122" t="s">
        <v>204</v>
      </c>
      <c r="P17" s="122" t="s">
        <v>125</v>
      </c>
      <c r="Q17" s="122" t="s">
        <v>149</v>
      </c>
      <c r="R17" s="122"/>
      <c r="S17" s="122">
        <v>0</v>
      </c>
      <c r="T17" s="122"/>
      <c r="U17" s="122">
        <v>0</v>
      </c>
      <c r="V17" s="122"/>
      <c r="W17" s="122"/>
      <c r="X17" s="122"/>
      <c r="Y17" s="122"/>
      <c r="Z17" s="122"/>
      <c r="AA17" s="122"/>
      <c r="AB17" s="122"/>
      <c r="AC17" s="122">
        <v>1</v>
      </c>
      <c r="AD17" s="126">
        <v>369000000000000</v>
      </c>
      <c r="AE17" s="122">
        <v>46.08</v>
      </c>
      <c r="AF17" s="122" t="s">
        <v>205</v>
      </c>
      <c r="AG17" s="122"/>
      <c r="AH17" s="122" t="s">
        <v>128</v>
      </c>
      <c r="AI17" s="122" t="s">
        <v>206</v>
      </c>
      <c r="AJ17" s="122" t="s">
        <v>207</v>
      </c>
      <c r="AK17" s="122" t="s">
        <v>131</v>
      </c>
      <c r="AL17" s="122"/>
      <c r="AM17" s="122" t="s">
        <v>150</v>
      </c>
      <c r="AN17" s="122"/>
      <c r="AO17" s="122" t="s">
        <v>133</v>
      </c>
      <c r="AP17" s="122" t="s">
        <v>134</v>
      </c>
    </row>
    <row r="18" spans="1:43" ht="21.75" customHeight="1">
      <c r="A18" s="121">
        <f>_xlfn.XLOOKUP(E18,'ALL MEMBERS x1'!C:C,'ALL MEMBERS x1'!Q:Q)</f>
        <v>111</v>
      </c>
      <c r="B18" s="122" t="s">
        <v>193</v>
      </c>
      <c r="C18" s="123">
        <v>0.66168981481481481</v>
      </c>
      <c r="D18" s="122" t="s">
        <v>136</v>
      </c>
      <c r="E18" s="122" t="s">
        <v>208</v>
      </c>
      <c r="F18" s="122" t="s">
        <v>38</v>
      </c>
      <c r="G18" s="122" t="s">
        <v>119</v>
      </c>
      <c r="H18" s="122" t="s">
        <v>120</v>
      </c>
      <c r="I18" s="124">
        <v>5</v>
      </c>
      <c r="J18" s="124">
        <v>-0.45</v>
      </c>
      <c r="K18" s="124">
        <v>4.55</v>
      </c>
      <c r="L18" s="122" t="s">
        <v>209</v>
      </c>
      <c r="M18" s="122" t="s">
        <v>122</v>
      </c>
      <c r="N18" s="122" t="s">
        <v>210</v>
      </c>
      <c r="O18" s="122" t="s">
        <v>211</v>
      </c>
      <c r="P18" s="122" t="s">
        <v>175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>
        <v>50.63</v>
      </c>
      <c r="AF18" s="122" t="s">
        <v>212</v>
      </c>
      <c r="AG18" s="122"/>
      <c r="AH18" s="122" t="s">
        <v>128</v>
      </c>
      <c r="AI18" s="122" t="s">
        <v>191</v>
      </c>
      <c r="AJ18" s="122" t="s">
        <v>213</v>
      </c>
      <c r="AK18" s="122" t="s">
        <v>131</v>
      </c>
      <c r="AL18" s="126">
        <v>7870000000</v>
      </c>
      <c r="AM18" s="122"/>
      <c r="AN18" s="122" t="s">
        <v>208</v>
      </c>
      <c r="AO18" s="122" t="s">
        <v>133</v>
      </c>
      <c r="AP18" s="122" t="s">
        <v>134</v>
      </c>
    </row>
    <row r="19" spans="1:43" ht="21.75" customHeight="1">
      <c r="A19" s="121">
        <f>_xlfn.XLOOKUP(E19,'ALL MEMBERS x1'!C:C,'ALL MEMBERS x1'!Q:Q)</f>
        <v>239</v>
      </c>
      <c r="B19" s="122" t="s">
        <v>193</v>
      </c>
      <c r="C19" s="123">
        <v>0.69071759259259258</v>
      </c>
      <c r="D19" s="122" t="s">
        <v>136</v>
      </c>
      <c r="E19" s="122" t="s">
        <v>214</v>
      </c>
      <c r="F19" s="122" t="s">
        <v>38</v>
      </c>
      <c r="G19" s="122" t="s">
        <v>119</v>
      </c>
      <c r="H19" s="122" t="s">
        <v>120</v>
      </c>
      <c r="I19" s="124">
        <v>5</v>
      </c>
      <c r="J19" s="124">
        <v>-0.45</v>
      </c>
      <c r="K19" s="124">
        <v>4.55</v>
      </c>
      <c r="L19" s="122" t="s">
        <v>215</v>
      </c>
      <c r="M19" s="122" t="s">
        <v>122</v>
      </c>
      <c r="N19" s="122" t="s">
        <v>216</v>
      </c>
      <c r="O19" s="122" t="s">
        <v>217</v>
      </c>
      <c r="P19" s="122" t="s">
        <v>175</v>
      </c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>
        <v>55.18</v>
      </c>
      <c r="AF19" s="122" t="s">
        <v>218</v>
      </c>
      <c r="AG19" s="122"/>
      <c r="AH19" s="122" t="s">
        <v>128</v>
      </c>
      <c r="AI19" s="122" t="s">
        <v>191</v>
      </c>
      <c r="AJ19" s="122" t="s">
        <v>219</v>
      </c>
      <c r="AK19" s="122" t="s">
        <v>131</v>
      </c>
      <c r="AL19" s="126">
        <v>7830000000</v>
      </c>
      <c r="AM19" s="122"/>
      <c r="AN19" s="122"/>
      <c r="AO19" s="122" t="s">
        <v>133</v>
      </c>
      <c r="AP19" s="122" t="s">
        <v>134</v>
      </c>
    </row>
    <row r="20" spans="1:43" ht="21.75" customHeight="1">
      <c r="A20" s="121">
        <f>_xlfn.XLOOKUP(E20,'ALL MEMBERS x1'!C:C,'ALL MEMBERS x1'!Q:Q)</f>
        <v>67</v>
      </c>
      <c r="B20" s="122" t="s">
        <v>193</v>
      </c>
      <c r="C20" s="123">
        <v>0.7748842592592593</v>
      </c>
      <c r="D20" s="122" t="s">
        <v>136</v>
      </c>
      <c r="E20" s="122" t="s">
        <v>220</v>
      </c>
      <c r="F20" s="122" t="s">
        <v>38</v>
      </c>
      <c r="G20" s="122" t="s">
        <v>119</v>
      </c>
      <c r="H20" s="122" t="s">
        <v>120</v>
      </c>
      <c r="I20" s="124">
        <v>5</v>
      </c>
      <c r="J20" s="124">
        <v>-0.45</v>
      </c>
      <c r="K20" s="124">
        <v>4.55</v>
      </c>
      <c r="L20" s="122" t="s">
        <v>221</v>
      </c>
      <c r="M20" s="122" t="s">
        <v>122</v>
      </c>
      <c r="N20" s="122" t="s">
        <v>222</v>
      </c>
      <c r="O20" s="122" t="s">
        <v>223</v>
      </c>
      <c r="P20" s="122" t="s">
        <v>175</v>
      </c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>
        <v>59.73</v>
      </c>
      <c r="AF20" s="122" t="s">
        <v>224</v>
      </c>
      <c r="AG20" s="122" t="s">
        <v>225</v>
      </c>
      <c r="AH20" s="122" t="s">
        <v>177</v>
      </c>
      <c r="AI20" s="122"/>
      <c r="AJ20" s="122" t="s">
        <v>226</v>
      </c>
      <c r="AK20" s="122" t="s">
        <v>131</v>
      </c>
      <c r="AL20" s="126">
        <v>1780000000</v>
      </c>
      <c r="AM20" s="122"/>
      <c r="AN20" s="122" t="s">
        <v>227</v>
      </c>
      <c r="AO20" s="122" t="s">
        <v>133</v>
      </c>
      <c r="AP20" s="122" t="s">
        <v>134</v>
      </c>
    </row>
    <row r="21" spans="1:43" ht="21.75" customHeight="1">
      <c r="A21" s="121">
        <f>_xlfn.XLOOKUP(E21,'ALL MEMBERS x1'!C:C,'ALL MEMBERS x1'!Q:Q)</f>
        <v>93</v>
      </c>
      <c r="B21" s="122" t="s">
        <v>193</v>
      </c>
      <c r="C21" s="123">
        <v>0.82254629629629628</v>
      </c>
      <c r="D21" s="122" t="s">
        <v>136</v>
      </c>
      <c r="E21" s="122" t="s">
        <v>228</v>
      </c>
      <c r="F21" s="122" t="s">
        <v>38</v>
      </c>
      <c r="G21" s="122" t="s">
        <v>119</v>
      </c>
      <c r="H21" s="122" t="s">
        <v>120</v>
      </c>
      <c r="I21" s="124">
        <v>5</v>
      </c>
      <c r="J21" s="124">
        <v>-0.45</v>
      </c>
      <c r="K21" s="124">
        <v>4.55</v>
      </c>
      <c r="L21" s="122" t="s">
        <v>229</v>
      </c>
      <c r="M21" s="122" t="s">
        <v>122</v>
      </c>
      <c r="N21" s="122" t="s">
        <v>230</v>
      </c>
      <c r="O21" s="122" t="s">
        <v>231</v>
      </c>
      <c r="P21" s="122" t="s">
        <v>175</v>
      </c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>
        <v>64.28</v>
      </c>
      <c r="AF21" s="122" t="s">
        <v>232</v>
      </c>
      <c r="AG21" s="122"/>
      <c r="AH21" s="122" t="s">
        <v>128</v>
      </c>
      <c r="AI21" s="122" t="s">
        <v>191</v>
      </c>
      <c r="AJ21" s="122" t="s">
        <v>233</v>
      </c>
      <c r="AK21" s="122" t="s">
        <v>131</v>
      </c>
      <c r="AL21" s="126">
        <v>7750000000</v>
      </c>
      <c r="AM21" s="122"/>
      <c r="AN21" s="122" t="s">
        <v>234</v>
      </c>
      <c r="AO21" s="122" t="s">
        <v>133</v>
      </c>
      <c r="AP21" s="122" t="s">
        <v>134</v>
      </c>
    </row>
    <row r="22" spans="1:43" ht="21.75" customHeight="1">
      <c r="A22" s="121">
        <f>_xlfn.XLOOKUP(E22,'ALL MEMBERS x1'!C:C,'ALL MEMBERS x1'!Q:Q)</f>
        <v>14</v>
      </c>
      <c r="B22" s="122" t="s">
        <v>193</v>
      </c>
      <c r="C22" s="123">
        <v>0.93418981481481478</v>
      </c>
      <c r="D22" s="122" t="s">
        <v>136</v>
      </c>
      <c r="E22" s="122" t="s">
        <v>235</v>
      </c>
      <c r="F22" s="122" t="s">
        <v>38</v>
      </c>
      <c r="G22" s="122" t="s">
        <v>119</v>
      </c>
      <c r="H22" s="122" t="s">
        <v>120</v>
      </c>
      <c r="I22" s="124">
        <v>5</v>
      </c>
      <c r="J22" s="124">
        <v>-0.45</v>
      </c>
      <c r="K22" s="124">
        <v>4.55</v>
      </c>
      <c r="L22" s="122" t="s">
        <v>236</v>
      </c>
      <c r="M22" s="122" t="s">
        <v>122</v>
      </c>
      <c r="N22" s="122" t="s">
        <v>237</v>
      </c>
      <c r="O22" s="122" t="s">
        <v>238</v>
      </c>
      <c r="P22" s="122" t="s">
        <v>175</v>
      </c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>
        <v>68.83</v>
      </c>
      <c r="AF22" s="122" t="s">
        <v>239</v>
      </c>
      <c r="AG22" s="122"/>
      <c r="AH22" s="122" t="s">
        <v>128</v>
      </c>
      <c r="AI22" s="122" t="s">
        <v>162</v>
      </c>
      <c r="AJ22" s="122" t="s">
        <v>219</v>
      </c>
      <c r="AK22" s="122" t="s">
        <v>131</v>
      </c>
      <c r="AL22" s="126">
        <v>7850000000</v>
      </c>
      <c r="AM22" s="122"/>
      <c r="AN22" s="122" t="s">
        <v>240</v>
      </c>
      <c r="AO22" s="122" t="s">
        <v>133</v>
      </c>
      <c r="AP22" s="122" t="s">
        <v>134</v>
      </c>
    </row>
    <row r="23" spans="1:43" ht="21.75" customHeight="1">
      <c r="A23" s="121">
        <f>_xlfn.XLOOKUP(E23,'ALL MEMBERS x1'!C:C,'ALL MEMBERS x1'!Q:Q)</f>
        <v>163</v>
      </c>
      <c r="B23" s="122" t="s">
        <v>241</v>
      </c>
      <c r="C23" s="123">
        <v>0.70212962962962966</v>
      </c>
      <c r="D23" s="122" t="s">
        <v>136</v>
      </c>
      <c r="E23" s="122" t="s">
        <v>242</v>
      </c>
      <c r="F23" s="151" t="s">
        <v>38</v>
      </c>
      <c r="G23" s="151" t="s">
        <v>119</v>
      </c>
      <c r="H23" s="152" t="s">
        <v>120</v>
      </c>
      <c r="I23" s="153">
        <v>5</v>
      </c>
      <c r="J23" s="153">
        <v>-0.45</v>
      </c>
      <c r="K23" s="153">
        <v>4.55</v>
      </c>
      <c r="L23" s="151" t="s">
        <v>243</v>
      </c>
      <c r="M23" s="151" t="s">
        <v>122</v>
      </c>
      <c r="N23" s="151" t="s">
        <v>244</v>
      </c>
      <c r="O23" s="152" t="s">
        <v>245</v>
      </c>
      <c r="P23" s="152" t="s">
        <v>175</v>
      </c>
      <c r="Q23" s="125"/>
      <c r="R23" s="122"/>
      <c r="S23" s="122"/>
      <c r="T23" s="122"/>
      <c r="U23" s="122"/>
      <c r="V23" s="125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5"/>
      <c r="AN23" s="125"/>
      <c r="AO23" s="122"/>
      <c r="AP23" s="122"/>
    </row>
    <row r="24" spans="1:43" ht="21.75" customHeight="1">
      <c r="A24" s="121">
        <f>_xlfn.XLOOKUP(E24,'ALL MEMBERS x1'!C:C,'ALL MEMBERS x1'!Q:Q)</f>
        <v>2</v>
      </c>
      <c r="B24" s="122" t="s">
        <v>246</v>
      </c>
      <c r="C24" s="123">
        <v>0.69332175925925921</v>
      </c>
      <c r="D24" s="122" t="s">
        <v>136</v>
      </c>
      <c r="E24" s="122" t="s">
        <v>118</v>
      </c>
      <c r="F24" s="151" t="s">
        <v>38</v>
      </c>
      <c r="G24" s="151" t="s">
        <v>119</v>
      </c>
      <c r="H24" s="152" t="s">
        <v>120</v>
      </c>
      <c r="I24" s="153">
        <v>1</v>
      </c>
      <c r="J24" s="153">
        <v>-0.31</v>
      </c>
      <c r="K24" s="153">
        <v>0.69</v>
      </c>
      <c r="L24" s="151" t="s">
        <v>247</v>
      </c>
      <c r="M24" s="151" t="s">
        <v>122</v>
      </c>
      <c r="N24" s="151" t="s">
        <v>248</v>
      </c>
      <c r="O24" s="152" t="s">
        <v>249</v>
      </c>
      <c r="P24" s="152" t="s">
        <v>125</v>
      </c>
      <c r="Q24" s="125"/>
      <c r="R24" s="122"/>
      <c r="S24" s="122"/>
      <c r="T24" s="122"/>
      <c r="U24" s="122"/>
      <c r="V24" s="125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5"/>
      <c r="AN24" s="125"/>
      <c r="AO24" s="122"/>
      <c r="AP24" s="122"/>
    </row>
    <row r="25" spans="1:43" ht="21.75" customHeight="1">
      <c r="A25" s="121">
        <f>_xlfn.XLOOKUP(E25,'ALL MEMBERS x1'!C:C,'ALL MEMBERS x1'!Q:Q)</f>
        <v>2</v>
      </c>
      <c r="B25" s="122" t="s">
        <v>246</v>
      </c>
      <c r="C25" s="123">
        <v>0.69429398148148147</v>
      </c>
      <c r="D25" s="122" t="s">
        <v>136</v>
      </c>
      <c r="E25" s="122" t="s">
        <v>118</v>
      </c>
      <c r="F25" s="151" t="s">
        <v>38</v>
      </c>
      <c r="G25" s="151" t="s">
        <v>119</v>
      </c>
      <c r="H25" s="152" t="s">
        <v>120</v>
      </c>
      <c r="I25" s="153">
        <v>1</v>
      </c>
      <c r="J25" s="153">
        <v>-0.33</v>
      </c>
      <c r="K25" s="153">
        <v>0.67</v>
      </c>
      <c r="L25" s="151" t="s">
        <v>4</v>
      </c>
      <c r="M25" s="151" t="s">
        <v>122</v>
      </c>
      <c r="N25" s="151" t="s">
        <v>250</v>
      </c>
      <c r="O25" s="152" t="s">
        <v>124</v>
      </c>
      <c r="P25" s="152" t="s">
        <v>125</v>
      </c>
      <c r="Q25" s="125"/>
      <c r="R25" s="122"/>
      <c r="S25" s="122"/>
      <c r="T25" s="122"/>
      <c r="U25" s="122"/>
      <c r="V25" s="125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5"/>
      <c r="AN25" s="125"/>
      <c r="AO25" s="122"/>
      <c r="AP25" s="122"/>
    </row>
    <row r="26" spans="1:43" ht="21.75" customHeight="1">
      <c r="A26" s="121">
        <f>_xlfn.XLOOKUP(E26,'ALL MEMBERS x1'!C:C,'ALL MEMBERS x1'!Q:Q)</f>
        <v>2</v>
      </c>
      <c r="B26" s="122" t="s">
        <v>246</v>
      </c>
      <c r="C26" s="123">
        <v>0.71659722222222222</v>
      </c>
      <c r="D26" s="122" t="s">
        <v>136</v>
      </c>
      <c r="E26" s="122" t="s">
        <v>118</v>
      </c>
      <c r="F26" s="151" t="s">
        <v>38</v>
      </c>
      <c r="G26" s="151" t="s">
        <v>119</v>
      </c>
      <c r="H26" s="152" t="s">
        <v>120</v>
      </c>
      <c r="I26" s="153">
        <v>1</v>
      </c>
      <c r="J26" s="153">
        <v>-0.33</v>
      </c>
      <c r="K26" s="153">
        <v>0.67</v>
      </c>
      <c r="L26" s="151" t="s">
        <v>4</v>
      </c>
      <c r="M26" s="151" t="s">
        <v>122</v>
      </c>
      <c r="N26" s="151" t="s">
        <v>251</v>
      </c>
      <c r="O26" s="152" t="s">
        <v>124</v>
      </c>
      <c r="P26" s="152" t="s">
        <v>125</v>
      </c>
      <c r="Q26" s="125"/>
      <c r="R26" s="122"/>
      <c r="S26" s="122"/>
      <c r="T26" s="122"/>
      <c r="U26" s="122"/>
      <c r="V26" s="125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5"/>
      <c r="AN26" s="125"/>
      <c r="AO26" s="122"/>
      <c r="AP26" s="122"/>
    </row>
    <row r="27" spans="1:43" ht="21.75" customHeight="1">
      <c r="A27" s="121">
        <f>_xlfn.XLOOKUP(E27,'ALL MEMBERS x1'!C:C,'ALL MEMBERS x1'!Q:Q)</f>
        <v>142</v>
      </c>
      <c r="B27" s="122" t="s">
        <v>252</v>
      </c>
      <c r="C27" s="123">
        <v>0.45159722222222221</v>
      </c>
      <c r="D27" s="122" t="s">
        <v>136</v>
      </c>
      <c r="E27" s="122" t="s">
        <v>253</v>
      </c>
      <c r="F27" s="151" t="s">
        <v>38</v>
      </c>
      <c r="G27" s="151" t="s">
        <v>119</v>
      </c>
      <c r="H27" s="152" t="s">
        <v>120</v>
      </c>
      <c r="I27" s="153">
        <v>5</v>
      </c>
      <c r="J27" s="153">
        <v>-0.36</v>
      </c>
      <c r="K27" s="153">
        <v>4.6399999999999997</v>
      </c>
      <c r="L27" s="151" t="s">
        <v>254</v>
      </c>
      <c r="M27" s="151" t="s">
        <v>122</v>
      </c>
      <c r="N27" s="151" t="s">
        <v>255</v>
      </c>
      <c r="O27" s="152" t="s">
        <v>256</v>
      </c>
      <c r="P27" s="152" t="s">
        <v>125</v>
      </c>
      <c r="Q27" s="125"/>
      <c r="R27" s="122"/>
      <c r="S27" s="122"/>
      <c r="T27" s="122"/>
      <c r="U27" s="122"/>
      <c r="V27" s="125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5"/>
      <c r="AN27" s="125"/>
      <c r="AO27" s="122"/>
      <c r="AP27" s="122"/>
    </row>
    <row r="28" spans="1:43" ht="21.75" customHeight="1">
      <c r="A28" s="121" t="e">
        <f>_xlfn.XLOOKUP(E28,'ALL MEMBERS x1'!C:C,'ALL MEMBERS x1'!Q:Q)</f>
        <v>#N/A</v>
      </c>
      <c r="B28" s="224">
        <v>45991</v>
      </c>
      <c r="C28" s="226">
        <v>0.55622685185185183</v>
      </c>
      <c r="D28" s="7" t="s">
        <v>136</v>
      </c>
      <c r="E28" s="7" t="s">
        <v>257</v>
      </c>
      <c r="F28" t="s">
        <v>38</v>
      </c>
      <c r="G28" t="s">
        <v>119</v>
      </c>
      <c r="H28" s="155" t="s">
        <v>120</v>
      </c>
      <c r="I28" s="156">
        <v>5</v>
      </c>
      <c r="J28" s="156">
        <v>-0.45</v>
      </c>
      <c r="K28" s="156">
        <v>4.55</v>
      </c>
      <c r="L28" t="s">
        <v>258</v>
      </c>
      <c r="M28" t="s">
        <v>122</v>
      </c>
      <c r="N28" t="s">
        <v>259</v>
      </c>
      <c r="O28" s="155" t="s">
        <v>260</v>
      </c>
      <c r="P28" s="155" t="s">
        <v>175</v>
      </c>
      <c r="Q28"/>
      <c r="R28"/>
      <c r="S28"/>
      <c r="T28"/>
      <c r="U28"/>
      <c r="V28" s="125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5"/>
      <c r="AN28" s="125"/>
      <c r="AO28" s="122"/>
      <c r="AP28" s="122"/>
    </row>
    <row r="29" spans="1:43" ht="21.75" customHeight="1">
      <c r="A29" s="121">
        <f>_xlfn.XLOOKUP(E29,'ALL MEMBERS x1'!C:C,'ALL MEMBERS x1'!Q:Q)</f>
        <v>100</v>
      </c>
      <c r="B29" s="224">
        <v>45993</v>
      </c>
      <c r="C29" s="226">
        <v>0.70425925925925925</v>
      </c>
      <c r="D29" s="7" t="s">
        <v>136</v>
      </c>
      <c r="E29" s="7" t="s">
        <v>261</v>
      </c>
      <c r="F29" t="s">
        <v>38</v>
      </c>
      <c r="G29" t="s">
        <v>119</v>
      </c>
      <c r="H29" s="155" t="s">
        <v>120</v>
      </c>
      <c r="I29" s="156">
        <v>5</v>
      </c>
      <c r="J29" s="156">
        <v>-0.45</v>
      </c>
      <c r="K29" s="156">
        <v>4.55</v>
      </c>
      <c r="L29" t="s">
        <v>262</v>
      </c>
      <c r="M29" t="s">
        <v>122</v>
      </c>
      <c r="N29" t="s">
        <v>263</v>
      </c>
      <c r="O29" s="155" t="s">
        <v>264</v>
      </c>
      <c r="P29" s="155" t="s">
        <v>125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 t="s">
        <v>133</v>
      </c>
      <c r="AP29" t="s">
        <v>134</v>
      </c>
      <c r="AQ29"/>
    </row>
    <row r="30" spans="1:43" ht="21.75" customHeight="1">
      <c r="A30" s="121">
        <f>_xlfn.XLOOKUP(E30,'ALL MEMBERS x1'!C:C,'ALL MEMBERS x1'!Q:Q)</f>
        <v>238</v>
      </c>
      <c r="B30" s="225">
        <v>45759</v>
      </c>
      <c r="C30" s="227">
        <v>0.94505787037037037</v>
      </c>
      <c r="D30" s="228" t="s">
        <v>136</v>
      </c>
      <c r="E30" s="228" t="s">
        <v>265</v>
      </c>
      <c r="F30" s="161" t="s">
        <v>38</v>
      </c>
      <c r="G30" s="161" t="s">
        <v>119</v>
      </c>
      <c r="H30" s="161" t="s">
        <v>120</v>
      </c>
      <c r="I30" s="163">
        <v>5</v>
      </c>
      <c r="J30" s="164">
        <v>-0.36</v>
      </c>
      <c r="K30" s="163">
        <v>4.6399999999999997</v>
      </c>
      <c r="L30" s="161" t="s">
        <v>266</v>
      </c>
      <c r="M30" s="161" t="s">
        <v>122</v>
      </c>
      <c r="N30" s="161" t="s">
        <v>267</v>
      </c>
      <c r="O30" s="161" t="s">
        <v>268</v>
      </c>
      <c r="P30" s="161" t="s">
        <v>125</v>
      </c>
      <c r="Q30" s="161" t="s">
        <v>149</v>
      </c>
      <c r="R30" s="161"/>
      <c r="S30" s="161">
        <v>0</v>
      </c>
      <c r="T30" s="161"/>
      <c r="U30" s="161">
        <v>0</v>
      </c>
      <c r="V30" s="161"/>
      <c r="W30" s="161"/>
      <c r="X30" s="161"/>
      <c r="Y30" s="161"/>
      <c r="Z30" s="161"/>
      <c r="AA30" s="161"/>
      <c r="AB30" s="161"/>
      <c r="AC30" s="161">
        <v>1</v>
      </c>
      <c r="AD30" s="162">
        <v>5010000000000000</v>
      </c>
      <c r="AE30" s="161">
        <v>93.79</v>
      </c>
      <c r="AF30" s="161" t="s">
        <v>269</v>
      </c>
      <c r="AG30" s="161"/>
      <c r="AH30" s="161" t="s">
        <v>128</v>
      </c>
      <c r="AI30" s="161" t="s">
        <v>270</v>
      </c>
      <c r="AJ30" s="161" t="s">
        <v>271</v>
      </c>
      <c r="AK30" s="161" t="s">
        <v>131</v>
      </c>
      <c r="AL30" s="161"/>
      <c r="AM30" s="161" t="s">
        <v>150</v>
      </c>
      <c r="AN30" s="161"/>
      <c r="AO30" s="161" t="s">
        <v>133</v>
      </c>
      <c r="AP30" s="161" t="s">
        <v>134</v>
      </c>
      <c r="AQ30"/>
    </row>
    <row r="31" spans="1:43" ht="21.75" customHeight="1">
      <c r="A31" s="121">
        <f>'ALL MEMBERS'!A194</f>
        <v>193</v>
      </c>
      <c r="B31" s="225">
        <v>45912</v>
      </c>
      <c r="C31" s="227">
        <v>0.91173611111111108</v>
      </c>
      <c r="D31" s="228" t="s">
        <v>136</v>
      </c>
      <c r="E31" s="228" t="s">
        <v>272</v>
      </c>
      <c r="F31" s="161" t="s">
        <v>38</v>
      </c>
      <c r="G31" s="161" t="s">
        <v>119</v>
      </c>
      <c r="H31" s="161" t="s">
        <v>120</v>
      </c>
      <c r="I31" s="163">
        <v>5</v>
      </c>
      <c r="J31" s="164">
        <v>-0.45</v>
      </c>
      <c r="K31" s="163">
        <v>4.55</v>
      </c>
      <c r="L31" s="161" t="s">
        <v>273</v>
      </c>
      <c r="M31" s="161" t="s">
        <v>122</v>
      </c>
      <c r="N31" s="161" t="s">
        <v>274</v>
      </c>
      <c r="O31" s="161" t="s">
        <v>275</v>
      </c>
      <c r="P31" s="161" t="s">
        <v>175</v>
      </c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>
        <v>98.34</v>
      </c>
      <c r="AF31" s="161" t="s">
        <v>276</v>
      </c>
      <c r="AG31" s="161"/>
      <c r="AH31" s="161" t="s">
        <v>128</v>
      </c>
      <c r="AI31" s="161" t="s">
        <v>162</v>
      </c>
      <c r="AJ31" s="161" t="s">
        <v>277</v>
      </c>
      <c r="AK31" s="161" t="s">
        <v>131</v>
      </c>
      <c r="AL31" s="162">
        <v>7900000000</v>
      </c>
      <c r="AM31" s="161"/>
      <c r="AN31" s="161"/>
      <c r="AO31" s="161" t="s">
        <v>133</v>
      </c>
      <c r="AP31" s="161" t="s">
        <v>134</v>
      </c>
      <c r="AQ31"/>
    </row>
    <row r="32" spans="1:43" ht="21.75" customHeight="1">
      <c r="A32" s="121">
        <f>_xlfn.XLOOKUP(E32,'ALL MEMBERS x1'!C:C,'ALL MEMBERS x1'!Q:Q)</f>
        <v>85</v>
      </c>
      <c r="B32" s="225">
        <v>45942</v>
      </c>
      <c r="C32" s="227">
        <v>0.45405092592592594</v>
      </c>
      <c r="D32" s="228" t="s">
        <v>136</v>
      </c>
      <c r="E32" s="228" t="s">
        <v>278</v>
      </c>
      <c r="F32" s="161" t="s">
        <v>38</v>
      </c>
      <c r="G32" s="161" t="s">
        <v>119</v>
      </c>
      <c r="H32" s="161" t="s">
        <v>120</v>
      </c>
      <c r="I32" s="163">
        <v>5</v>
      </c>
      <c r="J32" s="164">
        <v>-0.45</v>
      </c>
      <c r="K32" s="163">
        <v>4.55</v>
      </c>
      <c r="L32" s="161" t="s">
        <v>279</v>
      </c>
      <c r="M32" s="161" t="s">
        <v>122</v>
      </c>
      <c r="N32" s="161" t="s">
        <v>280</v>
      </c>
      <c r="O32" s="161" t="s">
        <v>281</v>
      </c>
      <c r="P32" s="161" t="s">
        <v>175</v>
      </c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>
        <v>102.89</v>
      </c>
      <c r="AF32" s="161" t="s">
        <v>282</v>
      </c>
      <c r="AG32" s="161"/>
      <c r="AH32" s="161" t="s">
        <v>128</v>
      </c>
      <c r="AI32" s="161"/>
      <c r="AJ32" s="161" t="s">
        <v>283</v>
      </c>
      <c r="AK32" s="161" t="s">
        <v>131</v>
      </c>
      <c r="AL32" s="162">
        <v>7890000000</v>
      </c>
      <c r="AM32" s="161"/>
      <c r="AN32" s="161" t="s">
        <v>284</v>
      </c>
      <c r="AO32" s="161" t="s">
        <v>133</v>
      </c>
      <c r="AP32" s="161" t="s">
        <v>134</v>
      </c>
      <c r="AQ32"/>
    </row>
    <row r="33" spans="1:43" ht="21.75" customHeight="1">
      <c r="A33" s="121">
        <f>_xlfn.XLOOKUP(E33,'ALL MEMBERS x1'!C:C,'ALL MEMBERS x1'!Q:Q)</f>
        <v>137</v>
      </c>
      <c r="B33" s="225">
        <v>45942</v>
      </c>
      <c r="C33" s="227">
        <v>0.51401620370370371</v>
      </c>
      <c r="D33" s="228" t="s">
        <v>136</v>
      </c>
      <c r="E33" s="228" t="s">
        <v>285</v>
      </c>
      <c r="F33" s="161" t="s">
        <v>38</v>
      </c>
      <c r="G33" s="161" t="s">
        <v>119</v>
      </c>
      <c r="H33" s="161" t="s">
        <v>120</v>
      </c>
      <c r="I33" s="163">
        <v>5</v>
      </c>
      <c r="J33" s="164">
        <v>-0.45</v>
      </c>
      <c r="K33" s="163">
        <v>4.55</v>
      </c>
      <c r="L33" s="161" t="s">
        <v>286</v>
      </c>
      <c r="M33" s="161" t="s">
        <v>122</v>
      </c>
      <c r="N33" s="161" t="s">
        <v>287</v>
      </c>
      <c r="O33" s="161" t="s">
        <v>288</v>
      </c>
      <c r="P33" s="161" t="s">
        <v>175</v>
      </c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>
        <v>107.44</v>
      </c>
      <c r="AF33" s="161" t="s">
        <v>289</v>
      </c>
      <c r="AG33" s="161"/>
      <c r="AH33" s="161" t="s">
        <v>199</v>
      </c>
      <c r="AI33" s="161" t="s">
        <v>162</v>
      </c>
      <c r="AJ33" s="161" t="s">
        <v>290</v>
      </c>
      <c r="AK33" s="161" t="s">
        <v>131</v>
      </c>
      <c r="AL33" s="162">
        <v>7800000000</v>
      </c>
      <c r="AM33" s="161"/>
      <c r="AN33" s="161" t="s">
        <v>291</v>
      </c>
      <c r="AO33" s="161" t="s">
        <v>133</v>
      </c>
      <c r="AP33" s="161" t="s">
        <v>134</v>
      </c>
      <c r="AQ33"/>
    </row>
    <row r="34" spans="1:43" ht="21.75" customHeight="1">
      <c r="A34" s="121">
        <f>_xlfn.XLOOKUP(E34,'ALL MEMBERS x1'!C:C,'ALL MEMBERS x1'!Q:Q)</f>
        <v>250</v>
      </c>
      <c r="B34" s="225">
        <v>45942</v>
      </c>
      <c r="C34" s="227">
        <v>0.57998842592592592</v>
      </c>
      <c r="D34" s="228" t="s">
        <v>136</v>
      </c>
      <c r="E34" s="228" t="s">
        <v>292</v>
      </c>
      <c r="F34" s="161" t="s">
        <v>38</v>
      </c>
      <c r="G34" s="161" t="s">
        <v>119</v>
      </c>
      <c r="H34" s="161" t="s">
        <v>120</v>
      </c>
      <c r="I34" s="163">
        <v>5</v>
      </c>
      <c r="J34" s="164">
        <v>0</v>
      </c>
      <c r="K34" s="163">
        <v>5</v>
      </c>
      <c r="L34" s="161" t="s">
        <v>293</v>
      </c>
      <c r="M34" s="161" t="s">
        <v>122</v>
      </c>
      <c r="N34" s="161" t="s">
        <v>294</v>
      </c>
      <c r="O34" s="161"/>
      <c r="P34" s="161" t="s">
        <v>175</v>
      </c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>
        <v>112.44</v>
      </c>
      <c r="AF34" s="161"/>
      <c r="AG34" s="161"/>
      <c r="AH34" s="161"/>
      <c r="AI34" s="161"/>
      <c r="AJ34" s="161"/>
      <c r="AK34" s="161"/>
      <c r="AL34" s="162">
        <v>7960000000</v>
      </c>
      <c r="AM34" s="161"/>
      <c r="AN34" s="161" t="s">
        <v>295</v>
      </c>
      <c r="AO34" s="161"/>
      <c r="AP34" s="161" t="s">
        <v>134</v>
      </c>
      <c r="AQ34"/>
    </row>
    <row r="35" spans="1:43" ht="21.75" customHeight="1">
      <c r="A35" s="121">
        <f>_xlfn.XLOOKUP(E35,'ALL MEMBERS x1'!C:C,'ALL MEMBERS x1'!Q:Q)</f>
        <v>4</v>
      </c>
      <c r="B35" s="225">
        <v>45942</v>
      </c>
      <c r="C35" s="227">
        <v>0.64184027777777775</v>
      </c>
      <c r="D35" s="228" t="s">
        <v>136</v>
      </c>
      <c r="E35" s="228" t="s">
        <v>296</v>
      </c>
      <c r="F35" s="161" t="s">
        <v>38</v>
      </c>
      <c r="G35" s="161" t="s">
        <v>119</v>
      </c>
      <c r="H35" s="161" t="s">
        <v>120</v>
      </c>
      <c r="I35" s="163">
        <v>5</v>
      </c>
      <c r="J35" s="164">
        <v>-0.36</v>
      </c>
      <c r="K35" s="163">
        <v>4.6399999999999997</v>
      </c>
      <c r="L35" s="161" t="s">
        <v>297</v>
      </c>
      <c r="M35" s="161" t="s">
        <v>122</v>
      </c>
      <c r="N35" s="161" t="s">
        <v>298</v>
      </c>
      <c r="O35" s="161" t="s">
        <v>299</v>
      </c>
      <c r="P35" s="161" t="s">
        <v>125</v>
      </c>
      <c r="Q35" s="161" t="s">
        <v>149</v>
      </c>
      <c r="R35" s="161"/>
      <c r="S35" s="161">
        <v>0</v>
      </c>
      <c r="T35" s="161"/>
      <c r="U35" s="161">
        <v>0</v>
      </c>
      <c r="V35" s="161"/>
      <c r="W35" s="161"/>
      <c r="X35" s="161"/>
      <c r="Y35" s="161"/>
      <c r="Z35" s="161"/>
      <c r="AA35" s="161"/>
      <c r="AB35" s="161"/>
      <c r="AC35" s="161">
        <v>1</v>
      </c>
      <c r="AD35" s="162">
        <v>3300000000000000</v>
      </c>
      <c r="AE35" s="161">
        <v>117.08</v>
      </c>
      <c r="AF35" s="161" t="s">
        <v>300</v>
      </c>
      <c r="AG35" s="161"/>
      <c r="AH35" s="161" t="s">
        <v>128</v>
      </c>
      <c r="AI35" s="161" t="s">
        <v>191</v>
      </c>
      <c r="AJ35" s="161" t="s">
        <v>301</v>
      </c>
      <c r="AK35" s="161" t="s">
        <v>131</v>
      </c>
      <c r="AL35" s="161"/>
      <c r="AM35" s="161" t="s">
        <v>150</v>
      </c>
      <c r="AN35" s="161"/>
      <c r="AO35" s="161" t="s">
        <v>133</v>
      </c>
      <c r="AP35" s="161" t="s">
        <v>134</v>
      </c>
      <c r="AQ35"/>
    </row>
    <row r="36" spans="1:43" ht="21.75" customHeight="1">
      <c r="A36" s="121">
        <f>_xlfn.XLOOKUP(E36,'ALL MEMBERS x1'!C:C,'ALL MEMBERS x1'!Q:Q)</f>
        <v>12</v>
      </c>
      <c r="B36" s="225">
        <v>45942</v>
      </c>
      <c r="C36" s="227">
        <v>0.67179398148148151</v>
      </c>
      <c r="D36" s="228" t="s">
        <v>136</v>
      </c>
      <c r="E36" s="228" t="s">
        <v>302</v>
      </c>
      <c r="F36" s="161" t="s">
        <v>38</v>
      </c>
      <c r="G36" s="161" t="s">
        <v>119</v>
      </c>
      <c r="H36" s="161" t="s">
        <v>120</v>
      </c>
      <c r="I36" s="163">
        <v>5</v>
      </c>
      <c r="J36" s="164">
        <v>-0.45</v>
      </c>
      <c r="K36" s="163">
        <v>4.55</v>
      </c>
      <c r="L36" s="161" t="s">
        <v>303</v>
      </c>
      <c r="M36" s="161" t="s">
        <v>122</v>
      </c>
      <c r="N36" s="161" t="s">
        <v>304</v>
      </c>
      <c r="O36" s="161" t="s">
        <v>305</v>
      </c>
      <c r="P36" s="161" t="s">
        <v>175</v>
      </c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>
        <v>121.63</v>
      </c>
      <c r="AF36" s="161" t="s">
        <v>306</v>
      </c>
      <c r="AG36" s="161"/>
      <c r="AH36" s="161" t="s">
        <v>128</v>
      </c>
      <c r="AI36" s="161" t="s">
        <v>162</v>
      </c>
      <c r="AJ36" s="161" t="s">
        <v>307</v>
      </c>
      <c r="AK36" s="161" t="s">
        <v>131</v>
      </c>
      <c r="AL36" s="162">
        <v>7920000000</v>
      </c>
      <c r="AM36" s="161"/>
      <c r="AN36" s="161" t="s">
        <v>308</v>
      </c>
      <c r="AO36" s="161" t="s">
        <v>133</v>
      </c>
      <c r="AP36" s="161" t="s">
        <v>134</v>
      </c>
      <c r="AQ36"/>
    </row>
    <row r="37" spans="1:43" ht="21.75" customHeight="1">
      <c r="A37" s="121">
        <f>_xlfn.XLOOKUP(E37,'ALL MEMBERS x1'!C:C,'ALL MEMBERS x1'!Q:Q)</f>
        <v>38</v>
      </c>
      <c r="B37" s="225">
        <v>46003</v>
      </c>
      <c r="C37" s="227">
        <v>0.74684027777777773</v>
      </c>
      <c r="D37" s="228" t="s">
        <v>136</v>
      </c>
      <c r="E37" s="228" t="s">
        <v>309</v>
      </c>
      <c r="F37" s="161" t="s">
        <v>38</v>
      </c>
      <c r="G37" s="161" t="s">
        <v>119</v>
      </c>
      <c r="H37" s="161" t="s">
        <v>120</v>
      </c>
      <c r="I37" s="163">
        <v>5</v>
      </c>
      <c r="J37" s="164">
        <v>-0.45</v>
      </c>
      <c r="K37" s="163">
        <v>4.55</v>
      </c>
      <c r="L37" s="161" t="s">
        <v>310</v>
      </c>
      <c r="M37" s="161" t="s">
        <v>122</v>
      </c>
      <c r="N37" s="161" t="s">
        <v>311</v>
      </c>
      <c r="O37" s="161" t="s">
        <v>312</v>
      </c>
      <c r="P37" s="161" t="s">
        <v>175</v>
      </c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>
        <v>126.18</v>
      </c>
      <c r="AF37" s="161" t="s">
        <v>313</v>
      </c>
      <c r="AG37" s="161"/>
      <c r="AH37" s="161" t="s">
        <v>128</v>
      </c>
      <c r="AI37" s="161"/>
      <c r="AJ37" s="161" t="s">
        <v>314</v>
      </c>
      <c r="AK37" s="161" t="s">
        <v>131</v>
      </c>
      <c r="AL37" s="162">
        <v>7880000000</v>
      </c>
      <c r="AM37" s="161"/>
      <c r="AN37" s="161" t="s">
        <v>309</v>
      </c>
      <c r="AO37" s="161" t="s">
        <v>133</v>
      </c>
      <c r="AP37" s="161" t="s">
        <v>134</v>
      </c>
      <c r="AQ37"/>
    </row>
    <row r="38" spans="1:43" ht="21.75" customHeight="1">
      <c r="A38" s="121">
        <f>_xlfn.XLOOKUP(E38,'ALL MEMBERS x1'!C:C,'ALL MEMBERS x1'!Q:Q)</f>
        <v>81</v>
      </c>
      <c r="B38" s="225">
        <v>46003</v>
      </c>
      <c r="C38" s="227">
        <v>0.85552083333333329</v>
      </c>
      <c r="D38" s="228" t="s">
        <v>136</v>
      </c>
      <c r="E38" s="228" t="s">
        <v>315</v>
      </c>
      <c r="F38" s="161" t="s">
        <v>38</v>
      </c>
      <c r="G38" s="161" t="s">
        <v>119</v>
      </c>
      <c r="H38" s="161" t="s">
        <v>120</v>
      </c>
      <c r="I38" s="163">
        <v>5</v>
      </c>
      <c r="J38" s="164">
        <v>-0.45</v>
      </c>
      <c r="K38" s="163">
        <v>4.55</v>
      </c>
      <c r="L38" s="161" t="s">
        <v>316</v>
      </c>
      <c r="M38" s="161" t="s">
        <v>122</v>
      </c>
      <c r="N38" s="161" t="s">
        <v>317</v>
      </c>
      <c r="O38" s="161" t="s">
        <v>318</v>
      </c>
      <c r="P38" s="161" t="s">
        <v>125</v>
      </c>
      <c r="Q38" s="161" t="s">
        <v>149</v>
      </c>
      <c r="R38" s="161"/>
      <c r="S38" s="161">
        <v>0</v>
      </c>
      <c r="T38" s="161"/>
      <c r="U38" s="161">
        <v>0</v>
      </c>
      <c r="V38" s="161"/>
      <c r="W38" s="161"/>
      <c r="X38" s="161"/>
      <c r="Y38" s="161"/>
      <c r="Z38" s="161"/>
      <c r="AA38" s="161"/>
      <c r="AB38" s="161"/>
      <c r="AC38" s="161">
        <v>1</v>
      </c>
      <c r="AD38" s="161"/>
      <c r="AE38" s="161">
        <v>130.72999999999999</v>
      </c>
      <c r="AF38" s="161" t="s">
        <v>319</v>
      </c>
      <c r="AG38" s="161" t="s">
        <v>128</v>
      </c>
      <c r="AH38" s="161" t="s">
        <v>128</v>
      </c>
      <c r="AI38" s="161" t="s">
        <v>191</v>
      </c>
      <c r="AJ38" s="161" t="s">
        <v>320</v>
      </c>
      <c r="AK38" s="161" t="s">
        <v>131</v>
      </c>
      <c r="AL38" s="162">
        <v>7520000000</v>
      </c>
      <c r="AM38" s="161" t="s">
        <v>150</v>
      </c>
      <c r="AN38" s="161"/>
      <c r="AO38" s="161" t="s">
        <v>133</v>
      </c>
      <c r="AP38" s="161" t="s">
        <v>134</v>
      </c>
      <c r="AQ38"/>
    </row>
    <row r="39" spans="1:43" ht="21.75" customHeight="1">
      <c r="B39" s="164" t="s">
        <v>321</v>
      </c>
      <c r="C39" s="236">
        <v>0.87304398148148143</v>
      </c>
      <c r="D39" s="164" t="s">
        <v>136</v>
      </c>
      <c r="E39" s="164" t="s">
        <v>322</v>
      </c>
      <c r="F39" s="161" t="s">
        <v>38</v>
      </c>
      <c r="G39" s="161" t="s">
        <v>119</v>
      </c>
      <c r="H39" s="161" t="s">
        <v>120</v>
      </c>
      <c r="I39" s="163">
        <v>10</v>
      </c>
      <c r="J39" s="164">
        <v>-0.42</v>
      </c>
      <c r="K39" s="163">
        <v>9.58</v>
      </c>
      <c r="L39" s="161" t="s">
        <v>323</v>
      </c>
      <c r="M39" s="161" t="s">
        <v>122</v>
      </c>
      <c r="N39" s="161" t="s">
        <v>324</v>
      </c>
      <c r="O39" s="161" t="s">
        <v>325</v>
      </c>
      <c r="P39" s="161" t="s">
        <v>125</v>
      </c>
      <c r="Q39" s="161" t="s">
        <v>149</v>
      </c>
      <c r="R39" s="161"/>
      <c r="S39" s="161">
        <v>0</v>
      </c>
      <c r="T39" s="161"/>
      <c r="U39" s="161">
        <v>0</v>
      </c>
      <c r="V39" s="161"/>
      <c r="W39" s="161"/>
      <c r="X39" s="161"/>
      <c r="Y39" s="161"/>
      <c r="Z39" s="161"/>
      <c r="AA39" s="161"/>
      <c r="AB39" s="161"/>
      <c r="AC39" s="161">
        <v>1</v>
      </c>
      <c r="AD39" s="161">
        <v>4690565916582950</v>
      </c>
      <c r="AE39" s="161">
        <v>140.31</v>
      </c>
      <c r="AF39" s="161" t="s">
        <v>326</v>
      </c>
      <c r="AG39" s="161"/>
      <c r="AH39" s="161" t="s">
        <v>128</v>
      </c>
      <c r="AI39" s="161" t="s">
        <v>327</v>
      </c>
      <c r="AJ39" s="161" t="s">
        <v>328</v>
      </c>
      <c r="AK39" s="161" t="s">
        <v>131</v>
      </c>
      <c r="AL39" s="161"/>
      <c r="AM39" s="161" t="s">
        <v>150</v>
      </c>
      <c r="AN39" s="161"/>
      <c r="AO39" s="161" t="s">
        <v>133</v>
      </c>
      <c r="AP39" s="161" t="s">
        <v>134</v>
      </c>
      <c r="AQ39"/>
    </row>
    <row r="40" spans="1:43" ht="21.75" customHeight="1">
      <c r="B40" s="237">
        <v>46143</v>
      </c>
      <c r="C40" s="236">
        <v>0.36206018518518518</v>
      </c>
      <c r="D40" s="164" t="s">
        <v>136</v>
      </c>
      <c r="E40" s="164" t="s">
        <v>329</v>
      </c>
      <c r="F40" s="161" t="s">
        <v>38</v>
      </c>
      <c r="G40" s="161" t="s">
        <v>119</v>
      </c>
      <c r="H40" s="161" t="s">
        <v>120</v>
      </c>
      <c r="I40" s="163">
        <v>5</v>
      </c>
      <c r="J40" s="164">
        <v>-0.36</v>
      </c>
      <c r="K40" s="163">
        <v>4.6399999999999997</v>
      </c>
      <c r="L40" s="161" t="s">
        <v>330</v>
      </c>
      <c r="M40" s="161" t="s">
        <v>122</v>
      </c>
      <c r="N40" s="161" t="s">
        <v>331</v>
      </c>
      <c r="O40" s="161" t="s">
        <v>332</v>
      </c>
      <c r="P40" s="161" t="s">
        <v>125</v>
      </c>
      <c r="Q40" s="161" t="s">
        <v>149</v>
      </c>
      <c r="R40" s="161"/>
      <c r="S40" s="161">
        <v>0</v>
      </c>
      <c r="T40" s="161"/>
      <c r="U40" s="161">
        <v>0</v>
      </c>
      <c r="V40" s="161"/>
      <c r="W40" s="161"/>
      <c r="X40" s="161"/>
      <c r="Y40" s="161"/>
      <c r="Z40" s="161"/>
      <c r="AA40" s="161"/>
      <c r="AB40" s="161"/>
      <c r="AC40" s="161">
        <v>1</v>
      </c>
      <c r="AD40" s="162">
        <v>556000000000000</v>
      </c>
      <c r="AE40" s="161">
        <v>144.94999999999999</v>
      </c>
      <c r="AF40" s="161" t="s">
        <v>333</v>
      </c>
      <c r="AG40" s="161" t="s">
        <v>128</v>
      </c>
      <c r="AH40" s="161" t="s">
        <v>128</v>
      </c>
      <c r="AI40" s="161" t="s">
        <v>191</v>
      </c>
      <c r="AJ40" s="161" t="s">
        <v>334</v>
      </c>
      <c r="AK40" s="161" t="s">
        <v>131</v>
      </c>
      <c r="AL40" s="161"/>
      <c r="AM40" s="161" t="s">
        <v>150</v>
      </c>
      <c r="AN40" s="161"/>
      <c r="AO40" s="161" t="s">
        <v>133</v>
      </c>
      <c r="AP40" s="161" t="s">
        <v>134</v>
      </c>
      <c r="AQ40"/>
    </row>
    <row r="41" spans="1:43" ht="21.75" customHeight="1">
      <c r="B41" s="237">
        <v>46296</v>
      </c>
      <c r="C41" s="236">
        <v>0.3908449074074074</v>
      </c>
      <c r="D41" s="164" t="s">
        <v>136</v>
      </c>
      <c r="E41" s="164" t="s">
        <v>335</v>
      </c>
      <c r="F41" s="161" t="s">
        <v>38</v>
      </c>
      <c r="G41" s="161" t="s">
        <v>119</v>
      </c>
      <c r="H41" s="161" t="s">
        <v>120</v>
      </c>
      <c r="I41" s="163">
        <v>5</v>
      </c>
      <c r="J41" s="164">
        <v>-0.45</v>
      </c>
      <c r="K41" s="163">
        <v>4.55</v>
      </c>
      <c r="L41" s="161" t="s">
        <v>336</v>
      </c>
      <c r="M41" s="161" t="s">
        <v>122</v>
      </c>
      <c r="N41" s="161" t="s">
        <v>337</v>
      </c>
      <c r="O41" s="161" t="s">
        <v>338</v>
      </c>
      <c r="P41" s="161" t="s">
        <v>125</v>
      </c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>
        <v>149.5</v>
      </c>
      <c r="AF41" s="161" t="s">
        <v>339</v>
      </c>
      <c r="AG41" s="161"/>
      <c r="AH41" s="161" t="s">
        <v>128</v>
      </c>
      <c r="AI41" s="161" t="s">
        <v>162</v>
      </c>
      <c r="AJ41" s="161" t="s">
        <v>340</v>
      </c>
      <c r="AK41" s="161" t="s">
        <v>131</v>
      </c>
      <c r="AL41" s="162">
        <v>7850000000</v>
      </c>
      <c r="AM41" s="161"/>
      <c r="AN41" s="161" t="s">
        <v>341</v>
      </c>
      <c r="AO41" s="161" t="s">
        <v>133</v>
      </c>
      <c r="AP41" s="161" t="s">
        <v>134</v>
      </c>
      <c r="AQ41"/>
    </row>
    <row r="42" spans="1:43" ht="21.75" customHeight="1">
      <c r="B42" s="161" t="s">
        <v>342</v>
      </c>
      <c r="C42" s="236">
        <v>0.64124999999999999</v>
      </c>
      <c r="D42" s="164" t="s">
        <v>136</v>
      </c>
      <c r="E42" s="164" t="s">
        <v>343</v>
      </c>
      <c r="F42" s="161" t="s">
        <v>51</v>
      </c>
      <c r="G42" s="161" t="s">
        <v>119</v>
      </c>
      <c r="H42" s="161" t="s">
        <v>120</v>
      </c>
      <c r="I42" s="163">
        <v>10</v>
      </c>
      <c r="J42" s="164">
        <v>-0.42</v>
      </c>
      <c r="K42" s="163">
        <v>9.58</v>
      </c>
      <c r="L42" s="161" t="s">
        <v>344</v>
      </c>
      <c r="M42" s="161" t="s">
        <v>122</v>
      </c>
      <c r="N42" s="161" t="s">
        <v>345</v>
      </c>
      <c r="O42" s="161" t="s">
        <v>346</v>
      </c>
      <c r="P42" s="161" t="s">
        <v>125</v>
      </c>
      <c r="Q42" s="161" t="s">
        <v>149</v>
      </c>
      <c r="R42" s="161"/>
      <c r="S42" s="161">
        <v>0</v>
      </c>
      <c r="T42" s="161"/>
      <c r="U42" s="161">
        <v>0</v>
      </c>
      <c r="V42" s="161"/>
      <c r="W42" s="161"/>
      <c r="X42" s="161"/>
      <c r="Y42" s="161"/>
      <c r="Z42" s="161"/>
      <c r="AA42" s="161"/>
      <c r="AB42" s="161"/>
      <c r="AC42" s="161">
        <v>1</v>
      </c>
      <c r="AD42" s="162">
        <v>394000000000000</v>
      </c>
      <c r="AE42" s="161">
        <v>159.08000000000001</v>
      </c>
      <c r="AF42" s="161" t="s">
        <v>347</v>
      </c>
      <c r="AG42" s="161"/>
      <c r="AH42" s="161" t="s">
        <v>128</v>
      </c>
      <c r="AI42" s="161"/>
      <c r="AJ42" s="161" t="s">
        <v>348</v>
      </c>
      <c r="AK42" s="161" t="s">
        <v>131</v>
      </c>
      <c r="AL42" s="161"/>
      <c r="AM42" s="161" t="s">
        <v>150</v>
      </c>
      <c r="AN42" s="161"/>
      <c r="AO42" s="161" t="s">
        <v>133</v>
      </c>
      <c r="AP42" s="161" t="s">
        <v>134</v>
      </c>
    </row>
    <row r="43" spans="1:43" ht="21.75" customHeight="1">
      <c r="B43" s="161" t="s">
        <v>349</v>
      </c>
      <c r="C43" s="236">
        <v>0.71710648148148148</v>
      </c>
      <c r="D43" s="164" t="s">
        <v>136</v>
      </c>
      <c r="E43" s="164" t="s">
        <v>350</v>
      </c>
      <c r="F43" s="161" t="s">
        <v>38</v>
      </c>
      <c r="G43" s="161" t="s">
        <v>119</v>
      </c>
      <c r="H43" s="161" t="s">
        <v>120</v>
      </c>
      <c r="I43" s="163">
        <v>5</v>
      </c>
      <c r="J43" s="164">
        <v>-0.36</v>
      </c>
      <c r="K43" s="163">
        <v>4.6399999999999997</v>
      </c>
      <c r="L43" s="161" t="s">
        <v>351</v>
      </c>
      <c r="M43" s="161" t="s">
        <v>122</v>
      </c>
      <c r="N43" s="161" t="s">
        <v>352</v>
      </c>
      <c r="O43" s="161" t="s">
        <v>353</v>
      </c>
      <c r="P43" s="161" t="s">
        <v>125</v>
      </c>
      <c r="Q43" s="161" t="s">
        <v>149</v>
      </c>
      <c r="R43" s="161"/>
      <c r="S43" s="161">
        <v>0</v>
      </c>
      <c r="T43" s="161"/>
      <c r="U43" s="161">
        <v>0</v>
      </c>
      <c r="V43" s="161"/>
      <c r="W43" s="161"/>
      <c r="X43" s="161"/>
      <c r="Y43" s="161"/>
      <c r="Z43" s="161"/>
      <c r="AA43" s="161"/>
      <c r="AB43" s="161"/>
      <c r="AC43" s="161">
        <v>1</v>
      </c>
      <c r="AD43" s="162">
        <v>2530000000000000</v>
      </c>
      <c r="AE43" s="161">
        <v>163.72</v>
      </c>
      <c r="AF43" s="161" t="s">
        <v>354</v>
      </c>
      <c r="AG43" s="161" t="s">
        <v>128</v>
      </c>
      <c r="AH43" s="161" t="s">
        <v>355</v>
      </c>
      <c r="AI43" s="161" t="s">
        <v>327</v>
      </c>
      <c r="AJ43" s="161" t="s">
        <v>356</v>
      </c>
      <c r="AK43" s="161" t="s">
        <v>131</v>
      </c>
      <c r="AL43" s="161"/>
      <c r="AM43" s="161" t="s">
        <v>150</v>
      </c>
      <c r="AN43" s="161"/>
      <c r="AO43" s="161" t="s">
        <v>133</v>
      </c>
      <c r="AP43" s="161" t="s">
        <v>134</v>
      </c>
    </row>
    <row r="44" spans="1:43" ht="21.75" customHeight="1">
      <c r="B44" s="161" t="s">
        <v>357</v>
      </c>
      <c r="C44" s="236">
        <v>0.49695601851851851</v>
      </c>
      <c r="D44" s="164" t="s">
        <v>136</v>
      </c>
      <c r="E44" s="164" t="s">
        <v>358</v>
      </c>
      <c r="F44" s="161" t="s">
        <v>38</v>
      </c>
      <c r="G44" s="161" t="s">
        <v>119</v>
      </c>
      <c r="H44" s="161" t="s">
        <v>120</v>
      </c>
      <c r="I44" s="163">
        <v>5</v>
      </c>
      <c r="J44" s="164">
        <v>-0.36</v>
      </c>
      <c r="K44" s="163">
        <v>4.6399999999999997</v>
      </c>
      <c r="L44" s="161" t="s">
        <v>359</v>
      </c>
      <c r="M44" s="161" t="s">
        <v>122</v>
      </c>
      <c r="N44" s="161" t="s">
        <v>360</v>
      </c>
      <c r="O44" s="161" t="s">
        <v>361</v>
      </c>
      <c r="P44" s="161" t="s">
        <v>125</v>
      </c>
      <c r="Q44" s="161" t="s">
        <v>149</v>
      </c>
      <c r="R44" s="161"/>
      <c r="S44" s="161">
        <v>0</v>
      </c>
      <c r="T44" s="161"/>
      <c r="U44" s="161">
        <v>0</v>
      </c>
      <c r="V44" s="161"/>
      <c r="W44" s="161"/>
      <c r="X44" s="161"/>
      <c r="Y44" s="161"/>
      <c r="Z44" s="161"/>
      <c r="AA44" s="161"/>
      <c r="AB44" s="161"/>
      <c r="AC44" s="161">
        <v>1</v>
      </c>
      <c r="AD44" s="162">
        <v>3360000000000000</v>
      </c>
      <c r="AE44" s="161">
        <v>168.36</v>
      </c>
      <c r="AF44" s="161">
        <v>205</v>
      </c>
      <c r="AG44" s="161" t="s">
        <v>362</v>
      </c>
      <c r="AH44" s="161" t="s">
        <v>128</v>
      </c>
      <c r="AI44" s="161" t="s">
        <v>191</v>
      </c>
      <c r="AJ44" s="161" t="s">
        <v>363</v>
      </c>
      <c r="AK44" s="161" t="s">
        <v>131</v>
      </c>
      <c r="AL44" s="161"/>
      <c r="AM44" s="161" t="s">
        <v>150</v>
      </c>
      <c r="AN44" s="161"/>
      <c r="AO44" s="161" t="s">
        <v>133</v>
      </c>
      <c r="AP44" s="161" t="s">
        <v>134</v>
      </c>
    </row>
    <row r="45" spans="1:43" ht="21.75" customHeight="1">
      <c r="B45" s="161" t="s">
        <v>364</v>
      </c>
      <c r="C45" s="236">
        <v>0.50989583333333333</v>
      </c>
      <c r="D45" s="164" t="s">
        <v>136</v>
      </c>
      <c r="E45" s="164" t="s">
        <v>365</v>
      </c>
      <c r="F45" s="161" t="s">
        <v>38</v>
      </c>
      <c r="G45" s="161" t="s">
        <v>119</v>
      </c>
      <c r="H45" s="161" t="s">
        <v>120</v>
      </c>
      <c r="I45" s="163">
        <v>5</v>
      </c>
      <c r="J45" s="164">
        <v>-0.36</v>
      </c>
      <c r="K45" s="163">
        <v>4.6399999999999997</v>
      </c>
      <c r="L45" s="161" t="s">
        <v>366</v>
      </c>
      <c r="M45" s="161" t="s">
        <v>122</v>
      </c>
      <c r="N45" s="161" t="s">
        <v>367</v>
      </c>
      <c r="O45" s="161" t="s">
        <v>368</v>
      </c>
      <c r="P45" s="161" t="s">
        <v>125</v>
      </c>
      <c r="Q45" s="161" t="s">
        <v>149</v>
      </c>
      <c r="R45" s="161"/>
      <c r="S45" s="161">
        <v>0</v>
      </c>
      <c r="T45" s="161"/>
      <c r="U45" s="161">
        <v>0</v>
      </c>
      <c r="V45" s="161"/>
      <c r="W45" s="161"/>
      <c r="X45" s="161"/>
      <c r="Y45" s="161"/>
      <c r="Z45" s="161"/>
      <c r="AA45" s="161"/>
      <c r="AB45" s="161"/>
      <c r="AC45" s="161">
        <v>1</v>
      </c>
      <c r="AD45" s="162">
        <v>763000000000000</v>
      </c>
      <c r="AE45" s="161">
        <v>173</v>
      </c>
      <c r="AF45" s="161" t="s">
        <v>369</v>
      </c>
      <c r="AG45" s="161"/>
      <c r="AH45" s="161" t="s">
        <v>128</v>
      </c>
      <c r="AI45" s="161" t="s">
        <v>191</v>
      </c>
      <c r="AJ45" s="161" t="s">
        <v>370</v>
      </c>
      <c r="AK45" s="161" t="s">
        <v>131</v>
      </c>
      <c r="AL45" s="161"/>
      <c r="AM45" s="161" t="s">
        <v>150</v>
      </c>
      <c r="AN45" s="161"/>
      <c r="AO45" s="161" t="s">
        <v>133</v>
      </c>
      <c r="AP45" s="161" t="s">
        <v>134</v>
      </c>
    </row>
    <row r="46" spans="1:43" ht="21.75" customHeight="1">
      <c r="B46" s="161" t="s">
        <v>371</v>
      </c>
      <c r="C46" s="236">
        <v>0.58856481481481482</v>
      </c>
      <c r="D46" s="161" t="s">
        <v>136</v>
      </c>
      <c r="E46" s="161" t="s">
        <v>372</v>
      </c>
      <c r="F46" s="161" t="s">
        <v>38</v>
      </c>
      <c r="G46" s="161" t="s">
        <v>119</v>
      </c>
      <c r="H46" s="161" t="s">
        <v>120</v>
      </c>
      <c r="I46" s="309">
        <v>5</v>
      </c>
      <c r="J46" s="164">
        <v>-0.45</v>
      </c>
      <c r="K46" s="163">
        <v>4.55</v>
      </c>
      <c r="L46" s="161" t="s">
        <v>373</v>
      </c>
      <c r="M46" s="161" t="s">
        <v>122</v>
      </c>
      <c r="N46" s="161" t="s">
        <v>374</v>
      </c>
      <c r="O46" s="161" t="s">
        <v>375</v>
      </c>
      <c r="P46" s="161" t="s">
        <v>125</v>
      </c>
      <c r="Q46" s="161" t="s">
        <v>149</v>
      </c>
      <c r="R46" s="161"/>
      <c r="S46" s="161">
        <v>0</v>
      </c>
      <c r="T46" s="161"/>
      <c r="U46" s="161">
        <v>0</v>
      </c>
      <c r="V46" s="161"/>
      <c r="W46" s="161"/>
      <c r="X46" s="161"/>
      <c r="Y46" s="161"/>
      <c r="Z46" s="161"/>
      <c r="AA46" s="161"/>
      <c r="AB46" s="161"/>
      <c r="AC46" s="161">
        <v>1</v>
      </c>
      <c r="AD46" s="161"/>
      <c r="AE46" s="161">
        <v>177.55</v>
      </c>
      <c r="AF46" s="161" t="s">
        <v>376</v>
      </c>
      <c r="AG46" s="161"/>
      <c r="AH46" s="161" t="s">
        <v>128</v>
      </c>
      <c r="AI46" s="161"/>
      <c r="AJ46" s="161" t="s">
        <v>377</v>
      </c>
      <c r="AK46" s="161" t="s">
        <v>131</v>
      </c>
      <c r="AL46" s="162">
        <v>1780000000</v>
      </c>
      <c r="AM46" s="308" t="s">
        <v>378</v>
      </c>
      <c r="AN46" s="161"/>
      <c r="AO46" s="161" t="s">
        <v>133</v>
      </c>
      <c r="AP46" s="161" t="s">
        <v>134</v>
      </c>
    </row>
    <row r="47" spans="1:43" ht="21.75" customHeight="1">
      <c r="B47" s="161" t="s">
        <v>371</v>
      </c>
      <c r="C47" s="236">
        <v>0.59582175925925929</v>
      </c>
      <c r="D47" s="161" t="s">
        <v>136</v>
      </c>
      <c r="E47" s="161" t="s">
        <v>379</v>
      </c>
      <c r="F47" s="161" t="s">
        <v>38</v>
      </c>
      <c r="G47" s="161" t="s">
        <v>119</v>
      </c>
      <c r="H47" s="161" t="s">
        <v>120</v>
      </c>
      <c r="I47" s="309">
        <v>5</v>
      </c>
      <c r="J47" s="164">
        <v>-0.45</v>
      </c>
      <c r="K47" s="163">
        <v>4.55</v>
      </c>
      <c r="L47" s="161" t="s">
        <v>380</v>
      </c>
      <c r="M47" s="161" t="s">
        <v>122</v>
      </c>
      <c r="N47" s="161" t="s">
        <v>381</v>
      </c>
      <c r="O47" s="161" t="s">
        <v>382</v>
      </c>
      <c r="P47" s="161" t="s">
        <v>125</v>
      </c>
      <c r="Q47" s="161" t="s">
        <v>149</v>
      </c>
      <c r="R47" s="161"/>
      <c r="S47" s="161">
        <v>0</v>
      </c>
      <c r="T47" s="161"/>
      <c r="U47" s="161">
        <v>0</v>
      </c>
      <c r="V47" s="161"/>
      <c r="W47" s="161"/>
      <c r="X47" s="161"/>
      <c r="Y47" s="161"/>
      <c r="Z47" s="161"/>
      <c r="AA47" s="161"/>
      <c r="AB47" s="161"/>
      <c r="AC47" s="161">
        <v>1</v>
      </c>
      <c r="AD47" s="161"/>
      <c r="AE47" s="161">
        <v>182.1</v>
      </c>
      <c r="AF47" s="161" t="s">
        <v>383</v>
      </c>
      <c r="AG47" s="161"/>
      <c r="AH47" s="161" t="s">
        <v>128</v>
      </c>
      <c r="AI47" s="161" t="s">
        <v>162</v>
      </c>
      <c r="AJ47" s="161" t="s">
        <v>384</v>
      </c>
      <c r="AK47" s="161" t="s">
        <v>131</v>
      </c>
      <c r="AL47" s="162">
        <v>1780000000</v>
      </c>
      <c r="AM47" s="308" t="s">
        <v>378</v>
      </c>
      <c r="AN47" s="161"/>
      <c r="AO47" s="161" t="s">
        <v>133</v>
      </c>
      <c r="AP47" s="161" t="s">
        <v>134</v>
      </c>
    </row>
    <row r="48" spans="1:43" ht="21.75" customHeight="1">
      <c r="B48" s="161" t="s">
        <v>371</v>
      </c>
      <c r="C48" s="236">
        <v>0.64695601851851847</v>
      </c>
      <c r="D48" s="161" t="s">
        <v>136</v>
      </c>
      <c r="E48" s="161" t="s">
        <v>385</v>
      </c>
      <c r="F48" s="161" t="s">
        <v>38</v>
      </c>
      <c r="G48" s="161" t="s">
        <v>119</v>
      </c>
      <c r="H48" s="161" t="s">
        <v>120</v>
      </c>
      <c r="I48" s="309">
        <v>5</v>
      </c>
      <c r="J48" s="164">
        <v>-0.45</v>
      </c>
      <c r="K48" s="163">
        <v>4.55</v>
      </c>
      <c r="L48" s="161" t="s">
        <v>386</v>
      </c>
      <c r="M48" s="161" t="s">
        <v>122</v>
      </c>
      <c r="N48" s="161" t="s">
        <v>387</v>
      </c>
      <c r="O48" s="161" t="s">
        <v>388</v>
      </c>
      <c r="P48" s="161" t="s">
        <v>125</v>
      </c>
      <c r="Q48" s="161" t="s">
        <v>149</v>
      </c>
      <c r="R48" s="161"/>
      <c r="S48" s="161">
        <v>0</v>
      </c>
      <c r="T48" s="161"/>
      <c r="U48" s="161">
        <v>0</v>
      </c>
      <c r="V48" s="161"/>
      <c r="W48" s="161"/>
      <c r="X48" s="161"/>
      <c r="Y48" s="161"/>
      <c r="Z48" s="161"/>
      <c r="AA48" s="161"/>
      <c r="AB48" s="161"/>
      <c r="AC48" s="161">
        <v>1</v>
      </c>
      <c r="AD48" s="161"/>
      <c r="AE48" s="161">
        <v>186.65</v>
      </c>
      <c r="AF48" s="161" t="s">
        <v>389</v>
      </c>
      <c r="AG48" s="161"/>
      <c r="AH48" s="161" t="s">
        <v>128</v>
      </c>
      <c r="AI48" s="161" t="s">
        <v>162</v>
      </c>
      <c r="AJ48" s="161" t="s">
        <v>390</v>
      </c>
      <c r="AK48" s="161" t="s">
        <v>131</v>
      </c>
      <c r="AL48" s="162">
        <v>2080000000</v>
      </c>
      <c r="AM48" s="308" t="s">
        <v>378</v>
      </c>
      <c r="AN48" s="161"/>
      <c r="AO48" s="161" t="s">
        <v>133</v>
      </c>
      <c r="AP48" s="161" t="s">
        <v>134</v>
      </c>
    </row>
    <row r="49" spans="2:42" ht="21.75" customHeight="1">
      <c r="B49" s="161" t="s">
        <v>391</v>
      </c>
      <c r="C49" s="236">
        <v>0.88671296296296298</v>
      </c>
      <c r="D49" s="161" t="s">
        <v>136</v>
      </c>
      <c r="E49" s="161" t="s">
        <v>392</v>
      </c>
      <c r="F49" s="161" t="s">
        <v>51</v>
      </c>
      <c r="G49" s="161" t="s">
        <v>119</v>
      </c>
      <c r="H49" s="161" t="s">
        <v>120</v>
      </c>
      <c r="I49" s="309">
        <v>25</v>
      </c>
      <c r="J49" s="164">
        <v>-0.6</v>
      </c>
      <c r="K49" s="163">
        <v>24.4</v>
      </c>
      <c r="L49" s="161" t="s">
        <v>393</v>
      </c>
      <c r="M49" s="161" t="s">
        <v>122</v>
      </c>
      <c r="N49" s="161" t="s">
        <v>394</v>
      </c>
      <c r="O49" s="161" t="s">
        <v>395</v>
      </c>
      <c r="P49" s="161" t="s">
        <v>125</v>
      </c>
      <c r="Q49" s="161" t="s">
        <v>152</v>
      </c>
      <c r="R49" s="161"/>
      <c r="S49" s="161">
        <v>0</v>
      </c>
      <c r="T49" s="161"/>
      <c r="U49" s="161">
        <v>0</v>
      </c>
      <c r="V49" s="161" t="s">
        <v>396</v>
      </c>
      <c r="W49" s="161" t="s">
        <v>397</v>
      </c>
      <c r="X49" s="161"/>
      <c r="Y49" s="161"/>
      <c r="Z49" s="161"/>
      <c r="AA49" s="161"/>
      <c r="AB49" s="161"/>
      <c r="AC49" s="161">
        <v>1</v>
      </c>
      <c r="AD49" s="162">
        <v>4860000000000000</v>
      </c>
      <c r="AE49" s="161">
        <v>211.05</v>
      </c>
      <c r="AF49" s="161" t="s">
        <v>398</v>
      </c>
      <c r="AG49" s="161"/>
      <c r="AH49" s="161" t="s">
        <v>128</v>
      </c>
      <c r="AI49" s="161" t="s">
        <v>191</v>
      </c>
      <c r="AJ49" s="161" t="s">
        <v>399</v>
      </c>
      <c r="AK49" s="161" t="s">
        <v>131</v>
      </c>
      <c r="AL49" s="161"/>
      <c r="AM49" s="308" t="s">
        <v>400</v>
      </c>
      <c r="AN49" s="161"/>
      <c r="AO49" s="161" t="s">
        <v>133</v>
      </c>
      <c r="AP49" s="161" t="s">
        <v>134</v>
      </c>
    </row>
    <row r="50" spans="2:42" ht="21.75" customHeight="1">
      <c r="B50" s="161" t="s">
        <v>401</v>
      </c>
      <c r="C50" s="236">
        <v>0.72054398148148147</v>
      </c>
      <c r="D50" s="161" t="s">
        <v>136</v>
      </c>
      <c r="E50" s="161"/>
      <c r="F50" s="311" t="s">
        <v>402</v>
      </c>
      <c r="G50" s="161" t="s">
        <v>119</v>
      </c>
      <c r="H50" s="161" t="s">
        <v>120</v>
      </c>
      <c r="I50" s="310">
        <v>-10</v>
      </c>
      <c r="J50" s="164">
        <v>0</v>
      </c>
      <c r="K50" s="310">
        <v>-10</v>
      </c>
      <c r="L50" s="161" t="s">
        <v>122</v>
      </c>
      <c r="M50" s="161"/>
      <c r="N50" s="161" t="s">
        <v>403</v>
      </c>
      <c r="O50" s="161"/>
      <c r="P50" s="161"/>
      <c r="Q50" s="161"/>
      <c r="R50" s="161"/>
      <c r="S50" s="161"/>
      <c r="T50" s="161"/>
      <c r="U50" s="161">
        <v>0</v>
      </c>
      <c r="V50" s="161"/>
      <c r="W50" s="161"/>
      <c r="X50" s="161"/>
      <c r="Y50" s="161"/>
      <c r="Z50" s="161"/>
      <c r="AA50" s="161"/>
      <c r="AB50" s="161"/>
      <c r="AC50" s="161"/>
      <c r="AD50" s="161"/>
      <c r="AE50" s="161">
        <v>201.05</v>
      </c>
      <c r="AF50" s="161"/>
      <c r="AG50" s="161"/>
      <c r="AH50" s="161"/>
      <c r="AI50" s="161"/>
      <c r="AJ50" s="161"/>
      <c r="AK50" s="161"/>
      <c r="AL50" s="161"/>
      <c r="AM50" s="161"/>
      <c r="AN50" s="161"/>
      <c r="AO50" s="161"/>
      <c r="AP50" s="161" t="s">
        <v>404</v>
      </c>
    </row>
    <row r="51" spans="2:42" ht="21.75" customHeight="1">
      <c r="B51" s="161" t="s">
        <v>405</v>
      </c>
      <c r="C51" s="236">
        <v>0.71615740740740741</v>
      </c>
      <c r="D51" s="161" t="s">
        <v>117</v>
      </c>
      <c r="E51" s="161"/>
      <c r="F51" s="311" t="s">
        <v>402</v>
      </c>
      <c r="G51" s="161" t="s">
        <v>119</v>
      </c>
      <c r="H51" s="161" t="s">
        <v>120</v>
      </c>
      <c r="I51" s="310">
        <v>-201.05</v>
      </c>
      <c r="J51" s="164">
        <v>0</v>
      </c>
      <c r="K51" s="310">
        <v>-201.05</v>
      </c>
      <c r="L51" s="161" t="s">
        <v>122</v>
      </c>
      <c r="M51" s="161"/>
      <c r="N51" s="161" t="s">
        <v>406</v>
      </c>
      <c r="O51" s="161"/>
      <c r="P51" s="161"/>
      <c r="Q51" s="161"/>
      <c r="R51" s="161"/>
      <c r="S51" s="161"/>
      <c r="T51" s="161"/>
      <c r="U51" s="161">
        <v>0</v>
      </c>
      <c r="V51" s="161"/>
      <c r="W51" s="161"/>
      <c r="X51" s="161"/>
      <c r="Y51" s="161"/>
      <c r="Z51" s="161"/>
      <c r="AA51" s="161"/>
      <c r="AB51" s="161"/>
      <c r="AC51" s="161"/>
      <c r="AD51" s="161"/>
      <c r="AE51" s="161">
        <v>0</v>
      </c>
      <c r="AF51" s="161"/>
      <c r="AG51" s="161"/>
      <c r="AH51" s="161"/>
      <c r="AI51" s="161"/>
      <c r="AJ51" s="161"/>
      <c r="AK51" s="161"/>
      <c r="AL51" s="161"/>
      <c r="AM51" s="161"/>
      <c r="AN51" s="161"/>
      <c r="AO51" s="161"/>
      <c r="AP51" s="161" t="s">
        <v>404</v>
      </c>
    </row>
    <row r="52" spans="2:42" ht="21.75" customHeight="1">
      <c r="B52" s="161"/>
      <c r="C52" s="236"/>
      <c r="D52" s="161"/>
      <c r="E52" s="161"/>
      <c r="F52" s="311"/>
      <c r="G52" s="161"/>
      <c r="H52" s="161"/>
      <c r="I52" s="310"/>
      <c r="J52" s="164"/>
      <c r="K52" s="310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</row>
    <row r="53" spans="2:42" ht="21.75" customHeight="1">
      <c r="B53" s="161"/>
      <c r="C53" s="236"/>
      <c r="D53" s="161"/>
      <c r="E53" s="161"/>
      <c r="F53" s="311"/>
      <c r="G53" s="161"/>
      <c r="H53" s="161"/>
      <c r="I53" s="310"/>
      <c r="J53" s="164"/>
      <c r="K53" s="310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161"/>
      <c r="AM53" s="161"/>
      <c r="AN53" s="161"/>
      <c r="AO53" s="161"/>
      <c r="AP53" s="161"/>
    </row>
    <row r="54" spans="2:42" ht="21.75" customHeight="1">
      <c r="B54" s="161"/>
      <c r="C54" s="236"/>
      <c r="D54" s="161"/>
      <c r="E54" s="161"/>
      <c r="F54" s="311"/>
      <c r="G54" s="161"/>
      <c r="H54" s="161"/>
      <c r="I54" s="310"/>
      <c r="J54" s="164"/>
      <c r="K54" s="310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</row>
    <row r="55" spans="2:42" ht="21.75" customHeight="1">
      <c r="B55" s="161"/>
      <c r="C55" s="236"/>
      <c r="D55" s="161"/>
      <c r="E55" s="161"/>
      <c r="F55" s="311"/>
      <c r="G55" s="161"/>
      <c r="H55" s="161"/>
      <c r="I55" s="310"/>
      <c r="J55" s="164"/>
      <c r="K55" s="310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</row>
    <row r="56" spans="2:42" ht="21.75" customHeight="1">
      <c r="B56" s="161"/>
      <c r="C56" s="236"/>
      <c r="D56" s="161"/>
      <c r="E56" s="161"/>
      <c r="F56" s="311"/>
      <c r="G56" s="161"/>
      <c r="H56" s="161"/>
      <c r="I56" s="310"/>
      <c r="J56" s="164"/>
      <c r="K56" s="310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</row>
    <row r="57" spans="2:42" ht="21.75" customHeight="1">
      <c r="B57" s="161"/>
      <c r="C57" s="236"/>
      <c r="D57" s="161"/>
      <c r="E57" s="161"/>
      <c r="F57" s="311"/>
      <c r="G57" s="161"/>
      <c r="H57" s="161"/>
      <c r="I57" s="310"/>
      <c r="J57" s="164"/>
      <c r="K57" s="310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61"/>
      <c r="AM57" s="161"/>
      <c r="AN57" s="161"/>
      <c r="AO57" s="161"/>
      <c r="AP57" s="161"/>
    </row>
    <row r="58" spans="2:42" ht="21.75" customHeight="1">
      <c r="C58" s="121"/>
      <c r="E58" s="121"/>
      <c r="F58" s="121"/>
      <c r="G58" s="121"/>
      <c r="H58" s="130"/>
      <c r="I58" s="131"/>
      <c r="J58" s="131"/>
      <c r="K58" s="131"/>
    </row>
    <row r="59" spans="2:42" ht="21.75" customHeight="1">
      <c r="C59" s="121"/>
      <c r="E59" s="121"/>
      <c r="F59" s="121"/>
      <c r="G59" s="130"/>
      <c r="H59" s="130"/>
      <c r="I59" s="132" t="s">
        <v>77</v>
      </c>
      <c r="J59" s="133" t="s">
        <v>12</v>
      </c>
      <c r="K59" s="132" t="s">
        <v>20</v>
      </c>
    </row>
    <row r="60" spans="2:42" ht="21.75" customHeight="1">
      <c r="C60" s="121"/>
      <c r="E60" s="121"/>
      <c r="F60" s="121"/>
      <c r="G60" s="328" t="s">
        <v>78</v>
      </c>
      <c r="H60" s="329"/>
      <c r="I60" s="134">
        <f>SUMIF(F:F,"Membership Fee",I:I)</f>
        <v>195</v>
      </c>
      <c r="J60" s="135">
        <f>SUMIF(F:F,"Membership Fee",J:J)</f>
        <v>-17.929999999999989</v>
      </c>
      <c r="K60" s="134">
        <f>SUMIF(F:F,"Membership Fee",K:K)</f>
        <v>177.06999999999996</v>
      </c>
    </row>
    <row r="61" spans="2:42" ht="21.75" customHeight="1">
      <c r="C61" s="121"/>
      <c r="E61" s="121"/>
      <c r="F61" s="121"/>
      <c r="G61" s="328" t="s">
        <v>79</v>
      </c>
      <c r="H61" s="329"/>
      <c r="I61" s="134">
        <f>SUMIF(F:F,"Donation",I:I)</f>
        <v>35</v>
      </c>
      <c r="J61" s="134">
        <f>SUMIF(F:F,"Donation",J:J)</f>
        <v>-1.02</v>
      </c>
      <c r="K61" s="134">
        <f>SUMIF(F:F,"Donation",K:K)</f>
        <v>33.979999999999997</v>
      </c>
    </row>
    <row r="62" spans="2:42" ht="21.75" customHeight="1">
      <c r="C62" s="121"/>
      <c r="E62" s="121"/>
      <c r="F62" s="121"/>
      <c r="G62" s="328" t="s">
        <v>407</v>
      </c>
      <c r="H62" s="329"/>
      <c r="I62" s="135">
        <f>SUMIF(F:F,"Transfer to MetroBank",I:I)</f>
        <v>-211.05</v>
      </c>
      <c r="J62" s="135">
        <f>SUMIF(F:F,"Transfer to MetroBank",J:J)</f>
        <v>0</v>
      </c>
      <c r="K62" s="135">
        <f>SUMIF(F:F,"Transfer to MetroBank",K:K)</f>
        <v>-211.05</v>
      </c>
    </row>
    <row r="63" spans="2:42" ht="21.75" customHeight="1">
      <c r="C63" s="121"/>
      <c r="E63" s="121"/>
      <c r="F63" s="121"/>
      <c r="G63" s="330" t="s">
        <v>20</v>
      </c>
      <c r="H63" s="331"/>
      <c r="I63" s="136">
        <f>SUM(I60:I62)</f>
        <v>18.949999999999989</v>
      </c>
      <c r="J63" s="136">
        <f>SUM(J60:J62)</f>
        <v>-18.949999999999989</v>
      </c>
      <c r="K63" s="136">
        <f>SUM(K60:K62)</f>
        <v>0</v>
      </c>
    </row>
  </sheetData>
  <autoFilter ref="B1:AP27" xr:uid="{81A3324A-4F09-4B2F-A3EC-3AF0EE576596}"/>
  <mergeCells count="4">
    <mergeCell ref="G60:H60"/>
    <mergeCell ref="G61:H61"/>
    <mergeCell ref="G63:H63"/>
    <mergeCell ref="G62:H62"/>
  </mergeCells>
  <pageMargins left="0.7" right="0.7" top="0.75" bottom="0.75" header="0.3" footer="0.3"/>
  <headerFooter>
    <oddFooter>&amp;R_x000D_&amp;1#&amp;"Calibri"&amp;8&amp;K000000 Cisco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52C6-2BCE-4869-9057-0C4A3635AEC2}">
  <dimension ref="A1:U285"/>
  <sheetViews>
    <sheetView showGridLines="0" tabSelected="1" zoomScale="98" zoomScaleNormal="98" workbookViewId="0">
      <pane ySplit="1" topLeftCell="A8" activePane="bottomLeft" state="frozen"/>
      <selection pane="bottomLeft" activeCell="U12" sqref="U12"/>
    </sheetView>
  </sheetViews>
  <sheetFormatPr baseColWidth="10" defaultColWidth="32.1640625" defaultRowHeight="18.75" customHeight="1"/>
  <cols>
    <col min="1" max="1" width="10.33203125" style="15" bestFit="1" customWidth="1"/>
    <col min="2" max="2" width="18.1640625" style="49" bestFit="1" customWidth="1"/>
    <col min="3" max="3" width="22.6640625" style="7" bestFit="1" customWidth="1"/>
    <col min="4" max="4" width="16.33203125" style="7" bestFit="1" customWidth="1"/>
    <col min="5" max="5" width="15.6640625" style="7" customWidth="1"/>
    <col min="6" max="6" width="18" style="7" bestFit="1" customWidth="1"/>
    <col min="7" max="7" width="11.33203125" style="22" bestFit="1" customWidth="1"/>
    <col min="8" max="9" width="39.83203125" style="7" customWidth="1"/>
    <col min="10" max="10" width="11.6640625" style="7" bestFit="1" customWidth="1"/>
    <col min="11" max="11" width="14.1640625" style="7" bestFit="1" customWidth="1"/>
    <col min="12" max="12" width="14.6640625" style="60" bestFit="1" customWidth="1"/>
    <col min="13" max="13" width="14.6640625" style="60" customWidth="1"/>
    <col min="14" max="14" width="14.6640625" style="61" bestFit="1" customWidth="1"/>
    <col min="15" max="15" width="11.33203125" style="61" bestFit="1" customWidth="1"/>
    <col min="16" max="16" width="11.33203125" style="61" customWidth="1"/>
    <col min="17" max="17" width="14.33203125" style="26" bestFit="1" customWidth="1"/>
    <col min="18" max="18" width="66.1640625" style="7" customWidth="1"/>
    <col min="19" max="19" width="17.33203125" style="15" customWidth="1"/>
    <col min="20" max="16384" width="32.1640625" style="15"/>
  </cols>
  <sheetData>
    <row r="1" spans="1:21" s="17" customFormat="1" ht="44.25" customHeight="1">
      <c r="A1" s="23" t="s">
        <v>408</v>
      </c>
      <c r="B1" s="113" t="s">
        <v>1496</v>
      </c>
      <c r="C1" s="18" t="s">
        <v>409</v>
      </c>
      <c r="D1" s="18" t="s">
        <v>410</v>
      </c>
      <c r="E1" s="18" t="s">
        <v>411</v>
      </c>
      <c r="F1" s="18" t="s">
        <v>412</v>
      </c>
      <c r="G1" s="18" t="s">
        <v>109</v>
      </c>
      <c r="H1" s="18" t="s">
        <v>10</v>
      </c>
      <c r="I1" s="18" t="s">
        <v>1500</v>
      </c>
      <c r="J1" s="18" t="s">
        <v>414</v>
      </c>
      <c r="K1" s="18" t="s">
        <v>1498</v>
      </c>
      <c r="L1" s="50" t="s">
        <v>416</v>
      </c>
      <c r="M1" s="50" t="s">
        <v>417</v>
      </c>
      <c r="N1" s="50" t="s">
        <v>418</v>
      </c>
      <c r="O1" s="50" t="s">
        <v>51</v>
      </c>
      <c r="P1" s="50" t="s">
        <v>1499</v>
      </c>
      <c r="Q1" s="23" t="s">
        <v>408</v>
      </c>
      <c r="R1" s="18" t="s">
        <v>419</v>
      </c>
      <c r="S1" s="50" t="s">
        <v>420</v>
      </c>
      <c r="T1" s="17" t="s">
        <v>1494</v>
      </c>
      <c r="U1" s="17" t="s">
        <v>82</v>
      </c>
    </row>
    <row r="2" spans="1:21" s="16" customFormat="1" ht="18.75" customHeight="1">
      <c r="A2" s="24">
        <f t="shared" ref="A2:A63" si="0">Q2</f>
        <v>1</v>
      </c>
      <c r="B2" s="114">
        <v>45710</v>
      </c>
      <c r="C2" s="25" t="str">
        <f t="shared" ref="C2:C65" si="1">CONCATENATE(D:D," ",E:E)</f>
        <v>John Dickens</v>
      </c>
      <c r="D2" s="27" t="s">
        <v>428</v>
      </c>
      <c r="E2" s="27" t="s">
        <v>429</v>
      </c>
      <c r="F2" s="25" t="s">
        <v>142</v>
      </c>
      <c r="G2" s="25" t="s">
        <v>430</v>
      </c>
      <c r="H2" s="25" t="s">
        <v>1</v>
      </c>
      <c r="I2" s="25" t="s">
        <v>1</v>
      </c>
      <c r="J2" s="25" t="s">
        <v>1488</v>
      </c>
      <c r="K2" s="25" t="s">
        <v>9</v>
      </c>
      <c r="L2" s="53">
        <v>45776</v>
      </c>
      <c r="M2" s="53" t="s">
        <v>431</v>
      </c>
      <c r="N2" s="54">
        <v>5</v>
      </c>
      <c r="O2" s="54"/>
      <c r="P2" s="54" t="s">
        <v>1492</v>
      </c>
      <c r="Q2" s="24">
        <v>1</v>
      </c>
      <c r="R2" s="25" t="s">
        <v>432</v>
      </c>
      <c r="S2" s="53">
        <v>46391</v>
      </c>
      <c r="T2" s="25" t="s">
        <v>9</v>
      </c>
      <c r="U2" s="16" t="s">
        <v>1497</v>
      </c>
    </row>
    <row r="3" spans="1:21" ht="18.75" customHeight="1">
      <c r="A3" s="24">
        <f t="shared" si="0"/>
        <v>2</v>
      </c>
      <c r="B3" s="114">
        <v>45710</v>
      </c>
      <c r="C3" s="25" t="str">
        <f t="shared" si="1"/>
        <v>Penny Kielty</v>
      </c>
      <c r="D3" s="25" t="s">
        <v>433</v>
      </c>
      <c r="E3" s="25" t="s">
        <v>434</v>
      </c>
      <c r="F3" s="25" t="s">
        <v>435</v>
      </c>
      <c r="G3" s="25" t="s">
        <v>130</v>
      </c>
      <c r="H3" s="25" t="s">
        <v>4</v>
      </c>
      <c r="I3" s="25" t="s">
        <v>4</v>
      </c>
      <c r="J3" s="25" t="s">
        <v>1488</v>
      </c>
      <c r="K3" s="25" t="s">
        <v>9</v>
      </c>
      <c r="L3" s="53">
        <v>45776</v>
      </c>
      <c r="M3" s="53" t="s">
        <v>436</v>
      </c>
      <c r="N3" s="54">
        <v>5</v>
      </c>
      <c r="O3" s="54"/>
      <c r="P3" s="54" t="s">
        <v>437</v>
      </c>
      <c r="Q3" s="24">
        <v>2</v>
      </c>
      <c r="R3" s="25" t="s">
        <v>438</v>
      </c>
      <c r="S3" s="53">
        <v>46478</v>
      </c>
      <c r="T3" s="25" t="s">
        <v>9</v>
      </c>
      <c r="U3" s="16" t="s">
        <v>1497</v>
      </c>
    </row>
    <row r="4" spans="1:21" ht="18.75" customHeight="1">
      <c r="A4" s="24">
        <f t="shared" si="0"/>
        <v>3</v>
      </c>
      <c r="B4" s="114">
        <v>45710</v>
      </c>
      <c r="C4" s="25" t="str">
        <f t="shared" si="1"/>
        <v>Julie Holman</v>
      </c>
      <c r="D4" s="27" t="s">
        <v>439</v>
      </c>
      <c r="E4" s="27" t="s">
        <v>440</v>
      </c>
      <c r="F4" s="25" t="s">
        <v>441</v>
      </c>
      <c r="G4" s="25" t="s">
        <v>348</v>
      </c>
      <c r="H4" s="25" t="s">
        <v>344</v>
      </c>
      <c r="I4" s="25" t="s">
        <v>344</v>
      </c>
      <c r="J4" s="25" t="s">
        <v>1488</v>
      </c>
      <c r="K4" s="25" t="s">
        <v>9</v>
      </c>
      <c r="L4" s="53">
        <v>45782</v>
      </c>
      <c r="M4" s="53" t="s">
        <v>442</v>
      </c>
      <c r="N4" s="54">
        <v>5</v>
      </c>
      <c r="O4" s="54"/>
      <c r="P4" s="54" t="s">
        <v>1492</v>
      </c>
      <c r="Q4" s="24">
        <v>3</v>
      </c>
      <c r="R4" s="25" t="s">
        <v>443</v>
      </c>
      <c r="S4" s="53">
        <v>46392</v>
      </c>
      <c r="T4" s="25" t="s">
        <v>9</v>
      </c>
      <c r="U4" s="16" t="s">
        <v>1497</v>
      </c>
    </row>
    <row r="5" spans="1:21" s="201" customFormat="1" ht="18.75" customHeight="1">
      <c r="A5" s="24">
        <f t="shared" si="0"/>
        <v>4</v>
      </c>
      <c r="B5" s="115">
        <v>45710</v>
      </c>
      <c r="C5" s="5" t="str">
        <f t="shared" si="1"/>
        <v>Andrew Lewis</v>
      </c>
      <c r="D5" s="19" t="s">
        <v>444</v>
      </c>
      <c r="E5" s="19" t="s">
        <v>445</v>
      </c>
      <c r="F5" s="5" t="s">
        <v>446</v>
      </c>
      <c r="G5" s="5" t="s">
        <v>301</v>
      </c>
      <c r="H5" s="5" t="s">
        <v>447</v>
      </c>
      <c r="I5" s="5" t="s">
        <v>447</v>
      </c>
      <c r="J5" s="25" t="s">
        <v>1488</v>
      </c>
      <c r="K5" s="5" t="s">
        <v>18</v>
      </c>
      <c r="L5" s="51">
        <v>46001</v>
      </c>
      <c r="M5" s="51"/>
      <c r="N5" s="52">
        <v>5</v>
      </c>
      <c r="O5" s="52"/>
      <c r="P5" s="52"/>
      <c r="Q5" s="24">
        <v>4</v>
      </c>
      <c r="R5" s="5"/>
      <c r="S5" s="51">
        <v>46366</v>
      </c>
      <c r="T5" s="201" t="s">
        <v>1495</v>
      </c>
      <c r="U5" s="16" t="s">
        <v>1497</v>
      </c>
    </row>
    <row r="6" spans="1:21" ht="18.75" customHeight="1">
      <c r="A6" s="24">
        <f t="shared" si="0"/>
        <v>5</v>
      </c>
      <c r="B6" s="115">
        <v>45710</v>
      </c>
      <c r="C6" s="5" t="str">
        <f t="shared" si="1"/>
        <v>Anne Crudgington</v>
      </c>
      <c r="D6" s="19" t="s">
        <v>448</v>
      </c>
      <c r="E6" s="19" t="s">
        <v>449</v>
      </c>
      <c r="F6" s="5" t="s">
        <v>450</v>
      </c>
      <c r="G6" s="5" t="s">
        <v>451</v>
      </c>
      <c r="H6" s="5" t="s">
        <v>452</v>
      </c>
      <c r="I6" s="5" t="s">
        <v>452</v>
      </c>
      <c r="J6" s="25" t="s">
        <v>1488</v>
      </c>
      <c r="K6" s="5" t="s">
        <v>18</v>
      </c>
      <c r="L6" s="51">
        <v>46015</v>
      </c>
      <c r="M6" s="51"/>
      <c r="N6" s="52">
        <v>5</v>
      </c>
      <c r="O6" s="52"/>
      <c r="P6" s="52"/>
      <c r="Q6" s="24">
        <v>5</v>
      </c>
      <c r="R6" s="5" t="s">
        <v>453</v>
      </c>
      <c r="S6" s="51">
        <v>46380</v>
      </c>
      <c r="T6" s="201" t="s">
        <v>1495</v>
      </c>
      <c r="U6" s="16" t="s">
        <v>1497</v>
      </c>
    </row>
    <row r="7" spans="1:21" s="176" customFormat="1" ht="18.75" customHeight="1">
      <c r="A7" s="197">
        <f t="shared" si="0"/>
        <v>6</v>
      </c>
      <c r="B7" s="198">
        <v>45710</v>
      </c>
      <c r="C7" s="19" t="str">
        <f t="shared" si="1"/>
        <v>Bob Baldry</v>
      </c>
      <c r="D7" s="19" t="s">
        <v>454</v>
      </c>
      <c r="E7" s="19" t="s">
        <v>455</v>
      </c>
      <c r="F7" s="19" t="s">
        <v>450</v>
      </c>
      <c r="G7" s="19" t="s">
        <v>456</v>
      </c>
      <c r="H7" s="19" t="s">
        <v>457</v>
      </c>
      <c r="I7" s="19" t="s">
        <v>457</v>
      </c>
      <c r="J7" s="25" t="s">
        <v>1488</v>
      </c>
      <c r="K7" s="19" t="s">
        <v>18</v>
      </c>
      <c r="L7" s="199">
        <v>45831</v>
      </c>
      <c r="M7" s="199"/>
      <c r="N7" s="200"/>
      <c r="O7" s="200"/>
      <c r="P7" s="200"/>
      <c r="Q7" s="197">
        <v>6</v>
      </c>
      <c r="R7" s="19" t="s">
        <v>458</v>
      </c>
      <c r="S7" s="199">
        <v>46196</v>
      </c>
      <c r="T7" s="201" t="s">
        <v>1495</v>
      </c>
      <c r="U7" s="16" t="s">
        <v>1497</v>
      </c>
    </row>
    <row r="8" spans="1:21" ht="18.75" customHeight="1">
      <c r="A8" s="24">
        <f t="shared" si="0"/>
        <v>7</v>
      </c>
      <c r="B8" s="115">
        <v>45710</v>
      </c>
      <c r="C8" s="5" t="str">
        <f t="shared" si="1"/>
        <v>Carol Kielty</v>
      </c>
      <c r="D8" s="323" t="s">
        <v>459</v>
      </c>
      <c r="E8" s="323" t="s">
        <v>434</v>
      </c>
      <c r="F8" s="5" t="s">
        <v>460</v>
      </c>
      <c r="G8" s="5" t="s">
        <v>461</v>
      </c>
      <c r="H8" s="5" t="s">
        <v>462</v>
      </c>
      <c r="I8" s="5" t="s">
        <v>462</v>
      </c>
      <c r="J8" s="25" t="s">
        <v>1488</v>
      </c>
      <c r="K8" s="5" t="s">
        <v>18</v>
      </c>
      <c r="L8" s="51">
        <v>45776</v>
      </c>
      <c r="M8" s="51">
        <v>46138</v>
      </c>
      <c r="N8" s="52">
        <v>5</v>
      </c>
      <c r="O8" s="52"/>
      <c r="P8" s="52" t="s">
        <v>463</v>
      </c>
      <c r="Q8" s="24">
        <v>7</v>
      </c>
      <c r="R8" s="5" t="s">
        <v>464</v>
      </c>
      <c r="S8" s="51">
        <v>46478</v>
      </c>
      <c r="T8" s="201" t="s">
        <v>1495</v>
      </c>
      <c r="U8" s="16" t="s">
        <v>1497</v>
      </c>
    </row>
    <row r="9" spans="1:21" ht="18.75" customHeight="1">
      <c r="A9" s="171">
        <f t="shared" si="0"/>
        <v>8</v>
      </c>
      <c r="B9" s="172">
        <v>45710</v>
      </c>
      <c r="C9" s="173" t="str">
        <f t="shared" si="1"/>
        <v>Carol Wooley</v>
      </c>
      <c r="D9" s="173" t="s">
        <v>459</v>
      </c>
      <c r="E9" s="173" t="s">
        <v>465</v>
      </c>
      <c r="F9" s="173" t="s">
        <v>466</v>
      </c>
      <c r="G9" s="173" t="s">
        <v>467</v>
      </c>
      <c r="H9" s="173" t="s">
        <v>468</v>
      </c>
      <c r="I9" s="173" t="s">
        <v>468</v>
      </c>
      <c r="J9" s="25" t="s">
        <v>1488</v>
      </c>
      <c r="K9" s="173" t="s">
        <v>18</v>
      </c>
      <c r="L9" s="174"/>
      <c r="M9" s="174"/>
      <c r="N9" s="175"/>
      <c r="O9" s="175"/>
      <c r="P9" s="175"/>
      <c r="Q9" s="171">
        <v>8</v>
      </c>
      <c r="R9" s="173"/>
      <c r="S9" s="174"/>
      <c r="T9" s="201" t="s">
        <v>1495</v>
      </c>
      <c r="U9" s="16" t="s">
        <v>1497</v>
      </c>
    </row>
    <row r="10" spans="1:21" s="201" customFormat="1" ht="18.75" customHeight="1">
      <c r="A10" s="24">
        <f t="shared" si="0"/>
        <v>9</v>
      </c>
      <c r="B10" s="115">
        <v>45710</v>
      </c>
      <c r="C10" s="5" t="str">
        <f t="shared" si="1"/>
        <v>Carole Baxter</v>
      </c>
      <c r="D10" s="19" t="s">
        <v>469</v>
      </c>
      <c r="E10" s="19" t="s">
        <v>470</v>
      </c>
      <c r="F10" s="5" t="s">
        <v>471</v>
      </c>
      <c r="G10" s="5" t="s">
        <v>334</v>
      </c>
      <c r="H10" s="5" t="s">
        <v>472</v>
      </c>
      <c r="I10" s="5" t="s">
        <v>472</v>
      </c>
      <c r="J10" s="25" t="s">
        <v>1488</v>
      </c>
      <c r="K10" s="5" t="s">
        <v>18</v>
      </c>
      <c r="L10" s="51">
        <v>45825</v>
      </c>
      <c r="M10" s="51"/>
      <c r="N10" s="52">
        <v>5</v>
      </c>
      <c r="O10" s="52"/>
      <c r="P10" s="52"/>
      <c r="Q10" s="24">
        <v>9</v>
      </c>
      <c r="R10" s="5"/>
      <c r="S10" s="51">
        <v>46190</v>
      </c>
      <c r="T10" s="201" t="s">
        <v>1495</v>
      </c>
      <c r="U10" s="16" t="s">
        <v>1497</v>
      </c>
    </row>
    <row r="11" spans="1:21" ht="18.75" customHeight="1">
      <c r="A11" s="24">
        <f t="shared" si="0"/>
        <v>10</v>
      </c>
      <c r="B11" s="115">
        <v>45710</v>
      </c>
      <c r="C11" s="5" t="str">
        <f t="shared" si="1"/>
        <v>Caroline Shannon</v>
      </c>
      <c r="D11" s="19" t="s">
        <v>473</v>
      </c>
      <c r="E11" s="19" t="s">
        <v>474</v>
      </c>
      <c r="F11" s="5" t="s">
        <v>142</v>
      </c>
      <c r="G11" s="5" t="s">
        <v>430</v>
      </c>
      <c r="H11" s="5" t="s">
        <v>475</v>
      </c>
      <c r="I11" s="5" t="s">
        <v>475</v>
      </c>
      <c r="J11" s="25" t="s">
        <v>1488</v>
      </c>
      <c r="K11" s="5" t="s">
        <v>18</v>
      </c>
      <c r="L11" s="51">
        <v>46002</v>
      </c>
      <c r="M11" s="51"/>
      <c r="N11" s="52">
        <v>5</v>
      </c>
      <c r="O11" s="52"/>
      <c r="P11" s="52"/>
      <c r="Q11" s="24">
        <v>10</v>
      </c>
      <c r="R11" s="5"/>
      <c r="S11" s="51">
        <v>46367</v>
      </c>
      <c r="T11" s="201" t="s">
        <v>1495</v>
      </c>
      <c r="U11" s="16" t="s">
        <v>1501</v>
      </c>
    </row>
    <row r="12" spans="1:21" s="176" customFormat="1" ht="18.75" customHeight="1">
      <c r="A12" s="197">
        <f t="shared" si="0"/>
        <v>11</v>
      </c>
      <c r="B12" s="198">
        <v>45710</v>
      </c>
      <c r="C12" s="19" t="str">
        <f t="shared" si="1"/>
        <v>Christine Lloyd</v>
      </c>
      <c r="D12" s="19" t="s">
        <v>476</v>
      </c>
      <c r="E12" s="19" t="s">
        <v>477</v>
      </c>
      <c r="F12" s="19" t="s">
        <v>478</v>
      </c>
      <c r="G12" s="19" t="s">
        <v>479</v>
      </c>
      <c r="H12" s="19" t="s">
        <v>480</v>
      </c>
      <c r="I12" s="19" t="s">
        <v>480</v>
      </c>
      <c r="J12" s="25" t="s">
        <v>1488</v>
      </c>
      <c r="K12" s="19" t="s">
        <v>18</v>
      </c>
      <c r="L12" s="199">
        <v>46027</v>
      </c>
      <c r="M12" s="199"/>
      <c r="N12" s="200"/>
      <c r="O12" s="200"/>
      <c r="P12" s="200"/>
      <c r="Q12" s="197">
        <v>11</v>
      </c>
      <c r="R12" s="19"/>
      <c r="S12" s="199">
        <v>46392</v>
      </c>
      <c r="T12" s="201" t="s">
        <v>1495</v>
      </c>
      <c r="U12" s="16" t="s">
        <v>1497</v>
      </c>
    </row>
    <row r="13" spans="1:21" ht="18.75" customHeight="1">
      <c r="A13" s="24">
        <f t="shared" si="0"/>
        <v>12</v>
      </c>
      <c r="B13" s="115">
        <v>45710</v>
      </c>
      <c r="C13" s="5" t="str">
        <f t="shared" si="1"/>
        <v>Christine Wooster</v>
      </c>
      <c r="D13" s="19" t="s">
        <v>476</v>
      </c>
      <c r="E13" s="19" t="s">
        <v>481</v>
      </c>
      <c r="F13" s="5" t="s">
        <v>482</v>
      </c>
      <c r="G13" s="5" t="s">
        <v>307</v>
      </c>
      <c r="H13" s="99" t="s">
        <v>303</v>
      </c>
      <c r="I13" s="99" t="s">
        <v>303</v>
      </c>
      <c r="J13" s="25" t="s">
        <v>1488</v>
      </c>
      <c r="K13" s="5" t="s">
        <v>18</v>
      </c>
      <c r="L13" s="51">
        <v>45826</v>
      </c>
      <c r="M13" s="51"/>
      <c r="N13" s="52">
        <v>10</v>
      </c>
      <c r="O13" s="52"/>
      <c r="P13" s="52"/>
      <c r="Q13" s="24">
        <v>12</v>
      </c>
      <c r="R13" s="157" t="s">
        <v>483</v>
      </c>
      <c r="S13" s="51">
        <v>46191</v>
      </c>
      <c r="T13" s="201" t="s">
        <v>1495</v>
      </c>
      <c r="U13" s="16" t="s">
        <v>1497</v>
      </c>
    </row>
    <row r="14" spans="1:21" ht="18.75" customHeight="1">
      <c r="A14" s="171">
        <f t="shared" si="0"/>
        <v>13</v>
      </c>
      <c r="B14" s="172">
        <v>45710</v>
      </c>
      <c r="C14" s="173" t="str">
        <f t="shared" si="1"/>
        <v>David &amp; Tracey Outhwaite</v>
      </c>
      <c r="D14" s="173" t="s">
        <v>484</v>
      </c>
      <c r="E14" s="173" t="s">
        <v>485</v>
      </c>
      <c r="F14" s="173"/>
      <c r="G14" s="173" t="s">
        <v>486</v>
      </c>
      <c r="H14" s="173" t="s">
        <v>487</v>
      </c>
      <c r="I14" s="173" t="s">
        <v>487</v>
      </c>
      <c r="J14" s="25" t="s">
        <v>1488</v>
      </c>
      <c r="K14" s="173" t="s">
        <v>18</v>
      </c>
      <c r="L14" s="174"/>
      <c r="M14" s="174"/>
      <c r="N14" s="175"/>
      <c r="O14" s="175"/>
      <c r="P14" s="175"/>
      <c r="Q14" s="171">
        <v>13</v>
      </c>
      <c r="R14" s="173"/>
      <c r="S14" s="174"/>
      <c r="T14" s="201" t="s">
        <v>1495</v>
      </c>
      <c r="U14" s="16" t="s">
        <v>1497</v>
      </c>
    </row>
    <row r="15" spans="1:21" ht="18.75" customHeight="1">
      <c r="A15" s="24">
        <f t="shared" si="0"/>
        <v>14</v>
      </c>
      <c r="B15" s="115">
        <v>45710</v>
      </c>
      <c r="C15" s="5" t="str">
        <f t="shared" si="1"/>
        <v>David Lee</v>
      </c>
      <c r="D15" s="19" t="s">
        <v>488</v>
      </c>
      <c r="E15" s="19" t="s">
        <v>489</v>
      </c>
      <c r="F15" s="5" t="s">
        <v>478</v>
      </c>
      <c r="G15" s="5" t="s">
        <v>219</v>
      </c>
      <c r="H15" s="5" t="s">
        <v>236</v>
      </c>
      <c r="I15" s="5" t="s">
        <v>236</v>
      </c>
      <c r="J15" s="25" t="s">
        <v>1488</v>
      </c>
      <c r="K15" s="5" t="s">
        <v>18</v>
      </c>
      <c r="L15" s="57">
        <v>45985</v>
      </c>
      <c r="N15" s="52">
        <v>5</v>
      </c>
      <c r="O15" s="52"/>
      <c r="P15" s="52"/>
      <c r="Q15" s="24">
        <v>14</v>
      </c>
      <c r="R15" s="5"/>
      <c r="S15" s="57">
        <v>46350</v>
      </c>
      <c r="T15" s="201" t="s">
        <v>1495</v>
      </c>
      <c r="U15" s="16" t="s">
        <v>1497</v>
      </c>
    </row>
    <row r="16" spans="1:21" s="176" customFormat="1" ht="18.75" customHeight="1">
      <c r="A16" s="24">
        <f t="shared" si="0"/>
        <v>15</v>
      </c>
      <c r="B16" s="115">
        <v>45710</v>
      </c>
      <c r="C16" s="5" t="str">
        <f t="shared" si="1"/>
        <v>David Small</v>
      </c>
      <c r="D16" s="19" t="s">
        <v>488</v>
      </c>
      <c r="E16" s="19" t="s">
        <v>490</v>
      </c>
      <c r="F16" s="5" t="s">
        <v>491</v>
      </c>
      <c r="G16" s="5" t="s">
        <v>492</v>
      </c>
      <c r="H16" s="5" t="s">
        <v>493</v>
      </c>
      <c r="I16" s="5" t="s">
        <v>493</v>
      </c>
      <c r="J16" s="25" t="s">
        <v>1488</v>
      </c>
      <c r="K16" s="5" t="s">
        <v>18</v>
      </c>
      <c r="L16" s="51">
        <v>46007</v>
      </c>
      <c r="M16" s="51"/>
      <c r="N16" s="52">
        <v>5</v>
      </c>
      <c r="O16" s="52"/>
      <c r="P16" s="52"/>
      <c r="Q16" s="24">
        <v>15</v>
      </c>
      <c r="R16" s="5"/>
      <c r="S16" s="51">
        <v>46372</v>
      </c>
      <c r="T16" s="201" t="s">
        <v>1495</v>
      </c>
      <c r="U16" s="16" t="s">
        <v>1497</v>
      </c>
    </row>
    <row r="17" spans="1:21" s="176" customFormat="1" ht="18.75" customHeight="1">
      <c r="A17" s="24">
        <f t="shared" si="0"/>
        <v>16</v>
      </c>
      <c r="B17" s="115">
        <v>45710</v>
      </c>
      <c r="C17" s="5" t="str">
        <f t="shared" si="1"/>
        <v>Dennis &amp; Joan Leeks</v>
      </c>
      <c r="D17" s="19" t="s">
        <v>494</v>
      </c>
      <c r="E17" s="19" t="s">
        <v>495</v>
      </c>
      <c r="F17" s="5" t="s">
        <v>446</v>
      </c>
      <c r="G17" s="5" t="s">
        <v>301</v>
      </c>
      <c r="H17" s="99" t="s">
        <v>496</v>
      </c>
      <c r="I17" s="99" t="s">
        <v>496</v>
      </c>
      <c r="J17" s="25" t="s">
        <v>1488</v>
      </c>
      <c r="K17" s="5" t="s">
        <v>18</v>
      </c>
      <c r="L17" s="51">
        <v>46001</v>
      </c>
      <c r="M17" s="51"/>
      <c r="N17" s="52"/>
      <c r="O17" s="52"/>
      <c r="P17" s="52"/>
      <c r="Q17" s="24">
        <v>16</v>
      </c>
      <c r="R17" s="5"/>
      <c r="S17" s="51">
        <v>46366</v>
      </c>
      <c r="T17" s="201" t="s">
        <v>1495</v>
      </c>
      <c r="U17" s="16" t="s">
        <v>1497</v>
      </c>
    </row>
    <row r="18" spans="1:21" ht="18.75" customHeight="1">
      <c r="A18" s="171">
        <f t="shared" si="0"/>
        <v>17</v>
      </c>
      <c r="B18" s="172">
        <v>45710</v>
      </c>
      <c r="C18" s="173" t="str">
        <f t="shared" si="1"/>
        <v>Frank &amp; Laura Greaves</v>
      </c>
      <c r="D18" s="173" t="s">
        <v>497</v>
      </c>
      <c r="E18" s="173" t="s">
        <v>498</v>
      </c>
      <c r="F18" s="173"/>
      <c r="G18" s="173" t="s">
        <v>499</v>
      </c>
      <c r="H18" s="173" t="s">
        <v>500</v>
      </c>
      <c r="I18" s="173" t="s">
        <v>500</v>
      </c>
      <c r="J18" s="25" t="s">
        <v>1488</v>
      </c>
      <c r="K18" s="173" t="s">
        <v>18</v>
      </c>
      <c r="L18" s="174"/>
      <c r="M18" s="174"/>
      <c r="N18" s="175"/>
      <c r="O18" s="175"/>
      <c r="P18" s="175"/>
      <c r="Q18" s="171">
        <v>17</v>
      </c>
      <c r="R18" s="173"/>
      <c r="S18" s="174"/>
      <c r="T18" s="201" t="s">
        <v>1495</v>
      </c>
      <c r="U18" s="16" t="s">
        <v>1497</v>
      </c>
    </row>
    <row r="19" spans="1:21" s="229" customFormat="1" ht="18.75" customHeight="1">
      <c r="A19" s="171">
        <f t="shared" si="0"/>
        <v>18</v>
      </c>
      <c r="B19" s="172">
        <v>45710</v>
      </c>
      <c r="C19" s="173" t="str">
        <f t="shared" si="1"/>
        <v>Geoffrey Rippingale</v>
      </c>
      <c r="D19" s="173" t="s">
        <v>501</v>
      </c>
      <c r="E19" s="173" t="s">
        <v>502</v>
      </c>
      <c r="F19" s="173"/>
      <c r="G19" s="173" t="s">
        <v>503</v>
      </c>
      <c r="H19" s="173" t="s">
        <v>504</v>
      </c>
      <c r="I19" s="173" t="s">
        <v>504</v>
      </c>
      <c r="J19" s="25" t="s">
        <v>1488</v>
      </c>
      <c r="K19" s="173" t="s">
        <v>18</v>
      </c>
      <c r="L19" s="174"/>
      <c r="M19" s="174"/>
      <c r="N19" s="175"/>
      <c r="O19" s="175"/>
      <c r="P19" s="175"/>
      <c r="Q19" s="171">
        <v>18</v>
      </c>
      <c r="R19" s="173"/>
      <c r="S19" s="174"/>
      <c r="T19" s="201" t="s">
        <v>1495</v>
      </c>
      <c r="U19" s="16" t="s">
        <v>1497</v>
      </c>
    </row>
    <row r="20" spans="1:21" s="176" customFormat="1" ht="18.75" customHeight="1">
      <c r="A20" s="24">
        <f t="shared" si="0"/>
        <v>19</v>
      </c>
      <c r="B20" s="115">
        <v>45710</v>
      </c>
      <c r="C20" s="5" t="str">
        <f t="shared" si="1"/>
        <v>Greg Neall</v>
      </c>
      <c r="D20" s="19" t="s">
        <v>505</v>
      </c>
      <c r="E20" s="19" t="s">
        <v>506</v>
      </c>
      <c r="F20" s="5" t="s">
        <v>507</v>
      </c>
      <c r="G20" s="5" t="s">
        <v>508</v>
      </c>
      <c r="H20" s="5" t="s">
        <v>509</v>
      </c>
      <c r="I20" s="5" t="s">
        <v>509</v>
      </c>
      <c r="J20" s="25" t="s">
        <v>1488</v>
      </c>
      <c r="K20" s="5" t="s">
        <v>18</v>
      </c>
      <c r="L20" s="199">
        <v>45991</v>
      </c>
      <c r="M20" s="51"/>
      <c r="N20" s="52"/>
      <c r="O20" s="52"/>
      <c r="P20" s="52"/>
      <c r="Q20" s="24">
        <v>19</v>
      </c>
      <c r="R20" s="101" t="s">
        <v>510</v>
      </c>
      <c r="S20" s="199">
        <v>46356</v>
      </c>
      <c r="T20" s="201" t="s">
        <v>1495</v>
      </c>
      <c r="U20" s="16" t="s">
        <v>1497</v>
      </c>
    </row>
    <row r="21" spans="1:21" ht="18.75" customHeight="1">
      <c r="A21" s="197">
        <f t="shared" si="0"/>
        <v>20</v>
      </c>
      <c r="B21" s="198">
        <v>45710</v>
      </c>
      <c r="C21" s="19" t="str">
        <f t="shared" si="1"/>
        <v>Helen Collis</v>
      </c>
      <c r="D21" s="19" t="s">
        <v>511</v>
      </c>
      <c r="E21" s="19" t="s">
        <v>512</v>
      </c>
      <c r="F21" s="19" t="s">
        <v>513</v>
      </c>
      <c r="G21" s="19" t="s">
        <v>514</v>
      </c>
      <c r="H21" s="230" t="s">
        <v>515</v>
      </c>
      <c r="I21" s="230" t="s">
        <v>515</v>
      </c>
      <c r="J21" s="25" t="s">
        <v>1488</v>
      </c>
      <c r="K21" s="19" t="s">
        <v>18</v>
      </c>
      <c r="L21" s="199">
        <v>45991</v>
      </c>
      <c r="M21" s="199"/>
      <c r="N21" s="200">
        <v>5</v>
      </c>
      <c r="O21" s="200"/>
      <c r="P21" s="200"/>
      <c r="Q21" s="197">
        <v>20</v>
      </c>
      <c r="R21" s="19"/>
      <c r="S21" s="199">
        <v>46356</v>
      </c>
      <c r="T21" s="201" t="s">
        <v>1495</v>
      </c>
      <c r="U21" s="16" t="s">
        <v>1497</v>
      </c>
    </row>
    <row r="22" spans="1:21" s="176" customFormat="1" ht="18.75" customHeight="1">
      <c r="A22" s="171">
        <f t="shared" si="0"/>
        <v>21</v>
      </c>
      <c r="B22" s="172">
        <v>45710</v>
      </c>
      <c r="C22" s="173" t="str">
        <f t="shared" si="1"/>
        <v>Helen Mason</v>
      </c>
      <c r="D22" s="173" t="s">
        <v>511</v>
      </c>
      <c r="E22" s="173" t="s">
        <v>516</v>
      </c>
      <c r="F22" s="173"/>
      <c r="G22" s="173" t="s">
        <v>517</v>
      </c>
      <c r="H22" s="173" t="s">
        <v>518</v>
      </c>
      <c r="I22" s="173" t="s">
        <v>518</v>
      </c>
      <c r="J22" s="25" t="s">
        <v>1488</v>
      </c>
      <c r="K22" s="173" t="s">
        <v>18</v>
      </c>
      <c r="L22" s="174"/>
      <c r="M22" s="174"/>
      <c r="N22" s="175"/>
      <c r="O22" s="175"/>
      <c r="P22" s="175"/>
      <c r="Q22" s="171">
        <v>21</v>
      </c>
      <c r="R22" s="173"/>
      <c r="S22" s="174"/>
      <c r="T22" s="201" t="s">
        <v>1495</v>
      </c>
      <c r="U22" s="16" t="s">
        <v>1497</v>
      </c>
    </row>
    <row r="23" spans="1:21" s="176" customFormat="1" ht="18.75" customHeight="1">
      <c r="A23" s="24">
        <f>Q23</f>
        <v>22</v>
      </c>
      <c r="B23" s="115">
        <v>45710</v>
      </c>
      <c r="C23" s="5" t="str">
        <f t="shared" si="1"/>
        <v>Jean &amp; Ian Parry</v>
      </c>
      <c r="D23" s="5" t="s">
        <v>519</v>
      </c>
      <c r="E23" s="5" t="s">
        <v>520</v>
      </c>
      <c r="F23" s="5" t="s">
        <v>521</v>
      </c>
      <c r="G23" s="5" t="s">
        <v>522</v>
      </c>
      <c r="H23" s="5" t="s">
        <v>523</v>
      </c>
      <c r="I23" s="5" t="s">
        <v>523</v>
      </c>
      <c r="J23" s="25" t="s">
        <v>1488</v>
      </c>
      <c r="K23" s="5" t="s">
        <v>18</v>
      </c>
      <c r="L23" s="51">
        <v>45927</v>
      </c>
      <c r="M23" s="51"/>
      <c r="N23" s="52"/>
      <c r="O23" s="52"/>
      <c r="P23" s="52"/>
      <c r="Q23" s="24">
        <v>22</v>
      </c>
      <c r="R23" s="5"/>
      <c r="S23" s="51">
        <v>46292</v>
      </c>
      <c r="T23" s="201" t="s">
        <v>1495</v>
      </c>
      <c r="U23" s="16" t="s">
        <v>1497</v>
      </c>
    </row>
    <row r="24" spans="1:21" ht="18.75" customHeight="1">
      <c r="A24" s="24">
        <f t="shared" si="0"/>
        <v>23</v>
      </c>
      <c r="B24" s="115">
        <v>45710</v>
      </c>
      <c r="C24" s="5" t="str">
        <f t="shared" si="1"/>
        <v>Jackie &amp; Les Brown</v>
      </c>
      <c r="D24" s="5" t="s">
        <v>524</v>
      </c>
      <c r="E24" s="5" t="s">
        <v>525</v>
      </c>
      <c r="F24" s="5"/>
      <c r="G24" s="5" t="s">
        <v>526</v>
      </c>
      <c r="H24" s="5" t="s">
        <v>527</v>
      </c>
      <c r="I24" s="5" t="s">
        <v>527</v>
      </c>
      <c r="J24" s="25" t="s">
        <v>1488</v>
      </c>
      <c r="K24" s="5" t="s">
        <v>18</v>
      </c>
      <c r="L24" s="51"/>
      <c r="M24" s="51" t="s">
        <v>528</v>
      </c>
      <c r="N24" s="52">
        <v>5</v>
      </c>
      <c r="O24" s="52"/>
      <c r="P24" s="52" t="s">
        <v>463</v>
      </c>
      <c r="Q24" s="24">
        <v>23</v>
      </c>
      <c r="R24" s="5"/>
      <c r="S24" s="51">
        <v>46391</v>
      </c>
      <c r="T24" s="201" t="s">
        <v>1495</v>
      </c>
      <c r="U24" s="16" t="s">
        <v>1497</v>
      </c>
    </row>
    <row r="25" spans="1:21" ht="18.75" customHeight="1">
      <c r="A25" s="171">
        <f t="shared" si="0"/>
        <v>24</v>
      </c>
      <c r="B25" s="172">
        <v>45710</v>
      </c>
      <c r="C25" s="173" t="str">
        <f t="shared" si="1"/>
        <v>Jane Dobbie</v>
      </c>
      <c r="D25" s="173" t="s">
        <v>529</v>
      </c>
      <c r="E25" s="173" t="s">
        <v>530</v>
      </c>
      <c r="F25" s="173"/>
      <c r="G25" s="173" t="s">
        <v>531</v>
      </c>
      <c r="H25" s="173" t="s">
        <v>532</v>
      </c>
      <c r="I25" s="173" t="s">
        <v>532</v>
      </c>
      <c r="J25" s="25" t="s">
        <v>1488</v>
      </c>
      <c r="K25" s="173" t="s">
        <v>18</v>
      </c>
      <c r="L25" s="174"/>
      <c r="M25" s="174"/>
      <c r="N25" s="175"/>
      <c r="O25" s="175"/>
      <c r="P25" s="175"/>
      <c r="Q25" s="171">
        <v>24</v>
      </c>
      <c r="R25" s="173"/>
      <c r="S25" s="174"/>
      <c r="T25" s="201" t="s">
        <v>1495</v>
      </c>
      <c r="U25" s="16" t="s">
        <v>1497</v>
      </c>
    </row>
    <row r="26" spans="1:21" s="176" customFormat="1" ht="18.75" customHeight="1">
      <c r="A26" s="24">
        <f t="shared" si="0"/>
        <v>25</v>
      </c>
      <c r="B26" s="115">
        <v>45710</v>
      </c>
      <c r="C26" s="5" t="str">
        <f t="shared" si="1"/>
        <v>Jenny Upton</v>
      </c>
      <c r="D26" s="19" t="s">
        <v>533</v>
      </c>
      <c r="E26" s="19" t="s">
        <v>534</v>
      </c>
      <c r="F26" s="5" t="s">
        <v>478</v>
      </c>
      <c r="G26" s="5" t="s">
        <v>219</v>
      </c>
      <c r="H26" s="5" t="s">
        <v>535</v>
      </c>
      <c r="I26" s="5" t="s">
        <v>535</v>
      </c>
      <c r="J26" s="25" t="s">
        <v>1488</v>
      </c>
      <c r="K26" s="5" t="s">
        <v>18</v>
      </c>
      <c r="L26" s="51">
        <v>46015</v>
      </c>
      <c r="M26" s="51"/>
      <c r="N26" s="52">
        <v>5</v>
      </c>
      <c r="O26" s="52"/>
      <c r="P26" s="52"/>
      <c r="Q26" s="24">
        <v>25</v>
      </c>
      <c r="R26" s="5"/>
      <c r="S26" s="51">
        <v>46380</v>
      </c>
      <c r="T26" s="201" t="s">
        <v>1495</v>
      </c>
      <c r="U26" s="16" t="s">
        <v>1497</v>
      </c>
    </row>
    <row r="27" spans="1:21" s="201" customFormat="1" ht="18.75" customHeight="1">
      <c r="A27" s="24">
        <f t="shared" si="0"/>
        <v>26</v>
      </c>
      <c r="B27" s="115">
        <v>45710</v>
      </c>
      <c r="C27" s="5" t="str">
        <f t="shared" si="1"/>
        <v>John &amp; Angela Burns</v>
      </c>
      <c r="D27" s="5" t="s">
        <v>536</v>
      </c>
      <c r="E27" s="5" t="s">
        <v>537</v>
      </c>
      <c r="F27" s="5" t="s">
        <v>538</v>
      </c>
      <c r="G27" s="5" t="s">
        <v>539</v>
      </c>
      <c r="H27" s="99" t="s">
        <v>540</v>
      </c>
      <c r="I27" s="99" t="s">
        <v>540</v>
      </c>
      <c r="J27" s="25" t="s">
        <v>1488</v>
      </c>
      <c r="K27" s="5" t="s">
        <v>18</v>
      </c>
      <c r="L27" s="51">
        <v>45994</v>
      </c>
      <c r="M27" s="51"/>
      <c r="N27" s="52"/>
      <c r="O27" s="52"/>
      <c r="P27" s="52"/>
      <c r="Q27" s="24">
        <v>26</v>
      </c>
      <c r="R27" s="5"/>
      <c r="S27" s="51">
        <v>46359</v>
      </c>
      <c r="T27" s="201" t="s">
        <v>1495</v>
      </c>
      <c r="U27" s="16" t="s">
        <v>1497</v>
      </c>
    </row>
    <row r="28" spans="1:21" ht="18.75" customHeight="1">
      <c r="A28" s="171">
        <f t="shared" si="0"/>
        <v>27</v>
      </c>
      <c r="B28" s="172">
        <v>45710</v>
      </c>
      <c r="C28" s="173" t="str">
        <f t="shared" si="1"/>
        <v>John Ibbett</v>
      </c>
      <c r="D28" s="173" t="s">
        <v>428</v>
      </c>
      <c r="E28" s="173" t="s">
        <v>541</v>
      </c>
      <c r="F28" s="173" t="s">
        <v>542</v>
      </c>
      <c r="G28" s="173" t="s">
        <v>543</v>
      </c>
      <c r="H28" s="173" t="s">
        <v>544</v>
      </c>
      <c r="I28" s="173" t="s">
        <v>544</v>
      </c>
      <c r="J28" s="25" t="s">
        <v>1488</v>
      </c>
      <c r="K28" s="173" t="s">
        <v>18</v>
      </c>
      <c r="L28" s="174"/>
      <c r="M28" s="174"/>
      <c r="N28" s="175"/>
      <c r="O28" s="175"/>
      <c r="P28" s="175"/>
      <c r="Q28" s="171">
        <v>27</v>
      </c>
      <c r="R28" s="173"/>
      <c r="S28" s="174"/>
      <c r="T28" s="201" t="s">
        <v>1495</v>
      </c>
      <c r="U28" s="16" t="s">
        <v>1497</v>
      </c>
    </row>
    <row r="29" spans="1:21" s="176" customFormat="1" ht="18.75" customHeight="1">
      <c r="A29" s="197">
        <f t="shared" si="0"/>
        <v>28</v>
      </c>
      <c r="B29" s="198">
        <v>45710</v>
      </c>
      <c r="C29" s="19" t="str">
        <f t="shared" si="1"/>
        <v>John Purser</v>
      </c>
      <c r="D29" s="19" t="s">
        <v>428</v>
      </c>
      <c r="E29" s="19" t="s">
        <v>545</v>
      </c>
      <c r="F29" s="19" t="s">
        <v>546</v>
      </c>
      <c r="G29" s="19" t="s">
        <v>547</v>
      </c>
      <c r="H29" s="19" t="s">
        <v>548</v>
      </c>
      <c r="I29" s="19" t="s">
        <v>548</v>
      </c>
      <c r="J29" s="25" t="s">
        <v>1488</v>
      </c>
      <c r="K29" s="19" t="s">
        <v>18</v>
      </c>
      <c r="L29" s="199">
        <v>45891</v>
      </c>
      <c r="M29" s="199"/>
      <c r="N29" s="200"/>
      <c r="O29" s="200"/>
      <c r="P29" s="200"/>
      <c r="Q29" s="197">
        <v>28</v>
      </c>
      <c r="R29" s="19" t="s">
        <v>549</v>
      </c>
      <c r="S29" s="199">
        <v>46256</v>
      </c>
      <c r="T29" s="201" t="s">
        <v>1495</v>
      </c>
      <c r="U29" s="16" t="s">
        <v>1497</v>
      </c>
    </row>
    <row r="30" spans="1:21" s="176" customFormat="1" ht="18.75" customHeight="1">
      <c r="A30" s="24">
        <f t="shared" si="0"/>
        <v>29</v>
      </c>
      <c r="B30" s="115">
        <v>45710</v>
      </c>
      <c r="C30" s="5" t="str">
        <f t="shared" si="1"/>
        <v>Linda Bannister</v>
      </c>
      <c r="D30" s="19" t="s">
        <v>550</v>
      </c>
      <c r="E30" s="19" t="s">
        <v>551</v>
      </c>
      <c r="F30" s="5" t="s">
        <v>552</v>
      </c>
      <c r="G30" s="5" t="s">
        <v>553</v>
      </c>
      <c r="H30" s="5" t="s">
        <v>554</v>
      </c>
      <c r="I30" s="5" t="s">
        <v>554</v>
      </c>
      <c r="J30" s="25" t="s">
        <v>1488</v>
      </c>
      <c r="K30" s="5" t="s">
        <v>18</v>
      </c>
      <c r="L30" s="51">
        <v>46003</v>
      </c>
      <c r="M30" s="51"/>
      <c r="N30" s="52">
        <v>5</v>
      </c>
      <c r="O30" s="52"/>
      <c r="P30" s="52"/>
      <c r="Q30" s="24">
        <v>29</v>
      </c>
      <c r="R30" s="5"/>
      <c r="S30" s="51">
        <v>46368</v>
      </c>
      <c r="T30" s="201" t="s">
        <v>1495</v>
      </c>
      <c r="U30" s="16" t="s">
        <v>1497</v>
      </c>
    </row>
    <row r="31" spans="1:21" s="176" customFormat="1" ht="18.75" customHeight="1">
      <c r="A31" s="171">
        <f t="shared" si="0"/>
        <v>30</v>
      </c>
      <c r="B31" s="172">
        <v>45710</v>
      </c>
      <c r="C31" s="173" t="str">
        <f t="shared" si="1"/>
        <v>Linda Nicolls</v>
      </c>
      <c r="D31" s="173" t="s">
        <v>550</v>
      </c>
      <c r="E31" s="173" t="s">
        <v>555</v>
      </c>
      <c r="F31" s="173"/>
      <c r="G31" s="173" t="s">
        <v>492</v>
      </c>
      <c r="H31" s="173" t="s">
        <v>556</v>
      </c>
      <c r="I31" s="173" t="s">
        <v>556</v>
      </c>
      <c r="J31" s="25" t="s">
        <v>1488</v>
      </c>
      <c r="K31" s="173" t="s">
        <v>18</v>
      </c>
      <c r="L31" s="174"/>
      <c r="M31" s="174"/>
      <c r="N31" s="175"/>
      <c r="O31" s="175"/>
      <c r="P31" s="175"/>
      <c r="Q31" s="171">
        <v>30</v>
      </c>
      <c r="R31" s="173"/>
      <c r="S31" s="174"/>
      <c r="T31" s="201" t="s">
        <v>1495</v>
      </c>
      <c r="U31" s="16" t="s">
        <v>1497</v>
      </c>
    </row>
    <row r="32" spans="1:21" ht="18.75" customHeight="1">
      <c r="A32" s="171">
        <f t="shared" si="0"/>
        <v>31</v>
      </c>
      <c r="B32" s="172">
        <v>45710</v>
      </c>
      <c r="C32" s="173" t="str">
        <f t="shared" si="1"/>
        <v>Lyn Weetch</v>
      </c>
      <c r="D32" s="173" t="s">
        <v>557</v>
      </c>
      <c r="E32" s="173" t="s">
        <v>558</v>
      </c>
      <c r="F32" s="173" t="s">
        <v>559</v>
      </c>
      <c r="G32" s="173" t="s">
        <v>560</v>
      </c>
      <c r="H32" s="173" t="s">
        <v>561</v>
      </c>
      <c r="I32" s="173" t="s">
        <v>561</v>
      </c>
      <c r="J32" s="25" t="s">
        <v>1488</v>
      </c>
      <c r="K32" s="173" t="s">
        <v>18</v>
      </c>
      <c r="L32" s="174"/>
      <c r="M32" s="174"/>
      <c r="N32" s="175"/>
      <c r="O32" s="175"/>
      <c r="P32" s="175"/>
      <c r="Q32" s="171">
        <v>31</v>
      </c>
      <c r="R32" s="173"/>
      <c r="S32" s="174"/>
      <c r="T32" s="201" t="s">
        <v>1495</v>
      </c>
      <c r="U32" s="16" t="s">
        <v>1497</v>
      </c>
    </row>
    <row r="33" spans="1:21" s="176" customFormat="1" ht="18.75" customHeight="1">
      <c r="A33" s="171">
        <f t="shared" si="0"/>
        <v>32</v>
      </c>
      <c r="B33" s="172">
        <v>45710</v>
      </c>
      <c r="C33" s="173" t="str">
        <f t="shared" si="1"/>
        <v>Marilyn Castle</v>
      </c>
      <c r="D33" s="173" t="s">
        <v>562</v>
      </c>
      <c r="E33" s="173" t="s">
        <v>563</v>
      </c>
      <c r="F33" s="173"/>
      <c r="G33" s="173" t="s">
        <v>564</v>
      </c>
      <c r="H33" s="173" t="s">
        <v>565</v>
      </c>
      <c r="I33" s="173" t="s">
        <v>565</v>
      </c>
      <c r="J33" s="25" t="s">
        <v>1488</v>
      </c>
      <c r="K33" s="173" t="s">
        <v>18</v>
      </c>
      <c r="L33" s="174"/>
      <c r="M33" s="174"/>
      <c r="N33" s="175"/>
      <c r="O33" s="175"/>
      <c r="P33" s="175"/>
      <c r="Q33" s="171">
        <v>32</v>
      </c>
      <c r="R33" s="173"/>
      <c r="S33" s="174"/>
      <c r="T33" s="201" t="s">
        <v>1495</v>
      </c>
      <c r="U33" s="16" t="s">
        <v>1497</v>
      </c>
    </row>
    <row r="34" spans="1:21" ht="18.75" customHeight="1">
      <c r="A34" s="24">
        <f t="shared" si="0"/>
        <v>33</v>
      </c>
      <c r="B34" s="115">
        <v>45710</v>
      </c>
      <c r="C34" s="5" t="str">
        <f t="shared" si="1"/>
        <v>Megan Purser</v>
      </c>
      <c r="D34" s="19" t="s">
        <v>566</v>
      </c>
      <c r="E34" s="19" t="s">
        <v>545</v>
      </c>
      <c r="F34" s="5" t="s">
        <v>546</v>
      </c>
      <c r="G34" s="5" t="s">
        <v>547</v>
      </c>
      <c r="H34" s="5" t="s">
        <v>567</v>
      </c>
      <c r="I34" s="5" t="s">
        <v>567</v>
      </c>
      <c r="J34" s="25" t="s">
        <v>1488</v>
      </c>
      <c r="K34" s="5" t="s">
        <v>18</v>
      </c>
      <c r="L34" s="51">
        <v>45891</v>
      </c>
      <c r="M34" s="51"/>
      <c r="N34" s="52">
        <v>5</v>
      </c>
      <c r="O34" s="52"/>
      <c r="P34" s="52"/>
      <c r="Q34" s="24">
        <v>33</v>
      </c>
      <c r="R34" s="5"/>
      <c r="S34" s="51">
        <v>46256</v>
      </c>
      <c r="T34" s="201" t="s">
        <v>1495</v>
      </c>
      <c r="U34" s="16" t="s">
        <v>1497</v>
      </c>
    </row>
    <row r="35" spans="1:21" ht="18.75" customHeight="1">
      <c r="A35" s="171">
        <f t="shared" si="0"/>
        <v>34</v>
      </c>
      <c r="B35" s="172">
        <v>45710</v>
      </c>
      <c r="C35" s="173" t="str">
        <f t="shared" si="1"/>
        <v>Pam Brazier</v>
      </c>
      <c r="D35" s="173" t="s">
        <v>568</v>
      </c>
      <c r="E35" s="173" t="s">
        <v>569</v>
      </c>
      <c r="F35" s="173"/>
      <c r="G35" s="173" t="s">
        <v>570</v>
      </c>
      <c r="H35" s="173" t="s">
        <v>571</v>
      </c>
      <c r="I35" s="173" t="s">
        <v>571</v>
      </c>
      <c r="J35" s="25" t="s">
        <v>1488</v>
      </c>
      <c r="K35" s="173" t="s">
        <v>18</v>
      </c>
      <c r="L35" s="174"/>
      <c r="M35" s="174"/>
      <c r="N35" s="175"/>
      <c r="O35" s="175"/>
      <c r="P35" s="175"/>
      <c r="Q35" s="171">
        <v>34</v>
      </c>
      <c r="R35" s="173"/>
      <c r="S35" s="174"/>
      <c r="T35" s="201" t="s">
        <v>1495</v>
      </c>
      <c r="U35" s="16" t="s">
        <v>1497</v>
      </c>
    </row>
    <row r="36" spans="1:21" s="201" customFormat="1" ht="18.75" customHeight="1">
      <c r="A36" s="24">
        <f t="shared" si="0"/>
        <v>35</v>
      </c>
      <c r="B36" s="115">
        <v>45710</v>
      </c>
      <c r="C36" s="5" t="str">
        <f t="shared" si="1"/>
        <v>Patricia Kielty</v>
      </c>
      <c r="D36" s="19" t="s">
        <v>572</v>
      </c>
      <c r="E36" s="19" t="s">
        <v>434</v>
      </c>
      <c r="F36" s="5" t="s">
        <v>435</v>
      </c>
      <c r="G36" s="5" t="s">
        <v>130</v>
      </c>
      <c r="H36" s="5" t="s">
        <v>573</v>
      </c>
      <c r="I36" s="5" t="s">
        <v>573</v>
      </c>
      <c r="J36" s="25" t="s">
        <v>1488</v>
      </c>
      <c r="K36" s="5" t="s">
        <v>18</v>
      </c>
      <c r="L36" s="51">
        <v>45776</v>
      </c>
      <c r="M36" s="51" t="s">
        <v>436</v>
      </c>
      <c r="N36" s="52">
        <v>0</v>
      </c>
      <c r="O36" s="52"/>
      <c r="P36" s="52"/>
      <c r="Q36" s="24">
        <v>35</v>
      </c>
      <c r="R36" s="5" t="s">
        <v>574</v>
      </c>
      <c r="S36" s="53">
        <v>46113</v>
      </c>
      <c r="T36" s="201" t="s">
        <v>1495</v>
      </c>
      <c r="U36" s="16" t="s">
        <v>1497</v>
      </c>
    </row>
    <row r="37" spans="1:21" ht="18.75" customHeight="1">
      <c r="A37" s="24">
        <f t="shared" si="0"/>
        <v>36</v>
      </c>
      <c r="B37" s="115">
        <v>45710</v>
      </c>
      <c r="C37" s="5" t="str">
        <f t="shared" si="1"/>
        <v>Patricia Holmes</v>
      </c>
      <c r="D37" s="5" t="s">
        <v>572</v>
      </c>
      <c r="E37" s="5" t="s">
        <v>575</v>
      </c>
      <c r="F37" s="5" t="s">
        <v>521</v>
      </c>
      <c r="G37" s="5" t="s">
        <v>522</v>
      </c>
      <c r="H37" s="5" t="s">
        <v>576</v>
      </c>
      <c r="I37" s="5" t="s">
        <v>576</v>
      </c>
      <c r="J37" s="25" t="s">
        <v>1488</v>
      </c>
      <c r="K37" s="5" t="s">
        <v>18</v>
      </c>
      <c r="L37" s="51">
        <v>45831</v>
      </c>
      <c r="M37" s="51"/>
      <c r="N37" s="52">
        <v>5</v>
      </c>
      <c r="O37" s="52"/>
      <c r="P37" s="52"/>
      <c r="Q37" s="24">
        <v>36</v>
      </c>
      <c r="R37" s="5"/>
      <c r="S37" s="51">
        <v>46196</v>
      </c>
      <c r="T37" s="201" t="s">
        <v>1495</v>
      </c>
      <c r="U37" s="16" t="s">
        <v>1497</v>
      </c>
    </row>
    <row r="38" spans="1:21" s="16" customFormat="1" ht="18.75" customHeight="1">
      <c r="A38" s="197">
        <f t="shared" si="0"/>
        <v>37</v>
      </c>
      <c r="B38" s="198">
        <v>45710</v>
      </c>
      <c r="C38" s="19" t="str">
        <f t="shared" si="1"/>
        <v>Peter Davies</v>
      </c>
      <c r="D38" s="19" t="s">
        <v>577</v>
      </c>
      <c r="E38" s="19" t="s">
        <v>578</v>
      </c>
      <c r="F38" s="19" t="s">
        <v>435</v>
      </c>
      <c r="G38" s="19" t="s">
        <v>130</v>
      </c>
      <c r="H38" s="230" t="s">
        <v>579</v>
      </c>
      <c r="I38" s="230" t="s">
        <v>579</v>
      </c>
      <c r="J38" s="25" t="s">
        <v>1488</v>
      </c>
      <c r="K38" s="19" t="s">
        <v>18</v>
      </c>
      <c r="L38" s="199">
        <v>46029</v>
      </c>
      <c r="M38" s="199"/>
      <c r="N38" s="200"/>
      <c r="O38" s="200"/>
      <c r="P38" s="200"/>
      <c r="Q38" s="197">
        <v>37</v>
      </c>
      <c r="R38" s="19" t="s">
        <v>580</v>
      </c>
      <c r="S38" s="199">
        <v>46394</v>
      </c>
      <c r="T38" s="201" t="s">
        <v>1495</v>
      </c>
      <c r="U38" s="16" t="s">
        <v>1497</v>
      </c>
    </row>
    <row r="39" spans="1:21" ht="18.75" customHeight="1">
      <c r="A39" s="24">
        <f t="shared" si="0"/>
        <v>38</v>
      </c>
      <c r="B39" s="115">
        <v>45710</v>
      </c>
      <c r="C39" s="5" t="str">
        <f t="shared" si="1"/>
        <v>Phil Henley</v>
      </c>
      <c r="D39" s="5" t="s">
        <v>581</v>
      </c>
      <c r="E39" s="5" t="s">
        <v>582</v>
      </c>
      <c r="F39" s="5" t="s">
        <v>423</v>
      </c>
      <c r="G39" s="5" t="s">
        <v>583</v>
      </c>
      <c r="H39" s="5" t="s">
        <v>310</v>
      </c>
      <c r="I39" s="5" t="s">
        <v>310</v>
      </c>
      <c r="J39" s="25" t="s">
        <v>1488</v>
      </c>
      <c r="K39" s="5" t="s">
        <v>18</v>
      </c>
      <c r="L39" s="51">
        <v>46003</v>
      </c>
      <c r="M39" s="51"/>
      <c r="N39" s="52">
        <v>5</v>
      </c>
      <c r="O39" s="52"/>
      <c r="P39" s="52"/>
      <c r="Q39" s="24">
        <v>38</v>
      </c>
      <c r="R39" s="5"/>
      <c r="S39" s="51">
        <v>46368</v>
      </c>
      <c r="T39" s="201" t="s">
        <v>1495</v>
      </c>
      <c r="U39" s="16" t="s">
        <v>1497</v>
      </c>
    </row>
    <row r="40" spans="1:21" s="176" customFormat="1" ht="18.75" customHeight="1">
      <c r="A40" s="24">
        <f t="shared" si="0"/>
        <v>39</v>
      </c>
      <c r="B40" s="114">
        <v>45710</v>
      </c>
      <c r="C40" s="25" t="str">
        <f t="shared" si="1"/>
        <v>Philomena Meddelton</v>
      </c>
      <c r="D40" s="25" t="s">
        <v>584</v>
      </c>
      <c r="E40" s="25" t="s">
        <v>585</v>
      </c>
      <c r="F40" s="25" t="s">
        <v>423</v>
      </c>
      <c r="G40" s="25" t="s">
        <v>178</v>
      </c>
      <c r="H40" s="25" t="s">
        <v>586</v>
      </c>
      <c r="I40" s="25" t="s">
        <v>586</v>
      </c>
      <c r="J40" s="25" t="s">
        <v>1488</v>
      </c>
      <c r="K40" s="25" t="s">
        <v>9</v>
      </c>
      <c r="L40" s="53">
        <v>45847</v>
      </c>
      <c r="M40" s="53"/>
      <c r="N40" s="54">
        <v>5</v>
      </c>
      <c r="O40" s="54"/>
      <c r="P40" s="54"/>
      <c r="Q40" s="24">
        <v>39</v>
      </c>
      <c r="R40" s="25" t="s">
        <v>443</v>
      </c>
      <c r="S40" s="53">
        <v>46212</v>
      </c>
      <c r="T40" s="25" t="s">
        <v>9</v>
      </c>
      <c r="U40" s="16" t="s">
        <v>1497</v>
      </c>
    </row>
    <row r="41" spans="1:21" ht="18.75" customHeight="1">
      <c r="A41" s="24">
        <f t="shared" si="0"/>
        <v>40</v>
      </c>
      <c r="B41" s="115">
        <v>45710</v>
      </c>
      <c r="C41" s="5" t="str">
        <f t="shared" si="1"/>
        <v>Richard Ancill</v>
      </c>
      <c r="D41" s="5" t="s">
        <v>587</v>
      </c>
      <c r="E41" s="5" t="s">
        <v>588</v>
      </c>
      <c r="F41" s="5" t="s">
        <v>450</v>
      </c>
      <c r="G41" s="5" t="s">
        <v>589</v>
      </c>
      <c r="H41" s="5" t="s">
        <v>590</v>
      </c>
      <c r="I41" s="5" t="s">
        <v>590</v>
      </c>
      <c r="J41" s="25" t="s">
        <v>1488</v>
      </c>
      <c r="K41" s="5" t="s">
        <v>18</v>
      </c>
      <c r="L41" s="51">
        <v>45840</v>
      </c>
      <c r="M41" s="51"/>
      <c r="N41" s="52">
        <v>5</v>
      </c>
      <c r="O41" s="52"/>
      <c r="P41" s="52"/>
      <c r="Q41" s="24">
        <v>40</v>
      </c>
      <c r="R41" s="5"/>
      <c r="S41" s="51">
        <v>46205</v>
      </c>
      <c r="T41" s="201" t="s">
        <v>1495</v>
      </c>
      <c r="U41" s="16" t="s">
        <v>1497</v>
      </c>
    </row>
    <row r="42" spans="1:21" ht="18.75" customHeight="1">
      <c r="A42" s="171">
        <f t="shared" si="0"/>
        <v>41</v>
      </c>
      <c r="B42" s="172">
        <v>45710</v>
      </c>
      <c r="C42" s="173" t="str">
        <f t="shared" si="1"/>
        <v>Richard Kim</v>
      </c>
      <c r="D42" s="173" t="s">
        <v>587</v>
      </c>
      <c r="E42" s="173" t="s">
        <v>591</v>
      </c>
      <c r="F42" s="173"/>
      <c r="G42" s="173" t="s">
        <v>592</v>
      </c>
      <c r="H42" s="173" t="s">
        <v>593</v>
      </c>
      <c r="I42" s="173" t="s">
        <v>593</v>
      </c>
      <c r="J42" s="25" t="s">
        <v>1488</v>
      </c>
      <c r="K42" s="173" t="s">
        <v>18</v>
      </c>
      <c r="L42" s="174"/>
      <c r="M42" s="174"/>
      <c r="N42" s="175"/>
      <c r="O42" s="175"/>
      <c r="P42" s="175"/>
      <c r="Q42" s="171">
        <v>41</v>
      </c>
      <c r="R42" s="173"/>
      <c r="S42" s="174"/>
      <c r="T42" s="201" t="s">
        <v>1495</v>
      </c>
      <c r="U42" s="16" t="s">
        <v>1497</v>
      </c>
    </row>
    <row r="43" spans="1:21" s="176" customFormat="1" ht="18.75" customHeight="1">
      <c r="A43" s="24">
        <f t="shared" si="0"/>
        <v>42</v>
      </c>
      <c r="B43" s="115">
        <v>45710</v>
      </c>
      <c r="C43" s="5" t="str">
        <f t="shared" si="1"/>
        <v>Sheila O'Donovan</v>
      </c>
      <c r="D43" s="5" t="s">
        <v>594</v>
      </c>
      <c r="E43" s="5" t="s">
        <v>595</v>
      </c>
      <c r="F43" s="5" t="s">
        <v>450</v>
      </c>
      <c r="G43" s="5" t="s">
        <v>456</v>
      </c>
      <c r="H43" s="99" t="s">
        <v>596</v>
      </c>
      <c r="I43" s="99" t="s">
        <v>596</v>
      </c>
      <c r="J43" s="25" t="s">
        <v>1488</v>
      </c>
      <c r="K43" s="5" t="s">
        <v>18</v>
      </c>
      <c r="L43" s="51">
        <v>45987</v>
      </c>
      <c r="M43" s="51"/>
      <c r="N43" s="52"/>
      <c r="O43" s="52"/>
      <c r="P43" s="52"/>
      <c r="Q43" s="24">
        <v>42</v>
      </c>
      <c r="R43" s="5"/>
      <c r="S43" s="51">
        <v>46352</v>
      </c>
      <c r="T43" s="201" t="s">
        <v>1495</v>
      </c>
      <c r="U43" s="16" t="s">
        <v>1497</v>
      </c>
    </row>
    <row r="44" spans="1:21" ht="18.75" customHeight="1">
      <c r="A44" s="24">
        <f t="shared" si="0"/>
        <v>43</v>
      </c>
      <c r="B44" s="115">
        <v>45710</v>
      </c>
      <c r="C44" s="5" t="str">
        <f t="shared" si="1"/>
        <v>Steve Wherlock</v>
      </c>
      <c r="D44" s="5" t="s">
        <v>597</v>
      </c>
      <c r="E44" s="5" t="s">
        <v>598</v>
      </c>
      <c r="F44" s="5" t="s">
        <v>599</v>
      </c>
      <c r="G44" s="5" t="s">
        <v>600</v>
      </c>
      <c r="H44" s="5" t="s">
        <v>601</v>
      </c>
      <c r="I44" s="5" t="s">
        <v>601</v>
      </c>
      <c r="J44" s="25" t="s">
        <v>1488</v>
      </c>
      <c r="K44" s="5" t="s">
        <v>18</v>
      </c>
      <c r="L44" s="51">
        <v>45987</v>
      </c>
      <c r="M44" s="51"/>
      <c r="N44" s="52">
        <v>5</v>
      </c>
      <c r="O44" s="52">
        <v>15</v>
      </c>
      <c r="P44" s="52"/>
      <c r="Q44" s="24">
        <v>43</v>
      </c>
      <c r="R44" s="25" t="s">
        <v>602</v>
      </c>
      <c r="S44" s="51">
        <v>46352</v>
      </c>
      <c r="T44" s="201" t="s">
        <v>1495</v>
      </c>
      <c r="U44" s="16" t="s">
        <v>1497</v>
      </c>
    </row>
    <row r="45" spans="1:21" s="177" customFormat="1" ht="18.75" customHeight="1">
      <c r="A45" s="171">
        <f t="shared" si="0"/>
        <v>44</v>
      </c>
      <c r="B45" s="172">
        <v>45710</v>
      </c>
      <c r="C45" s="173" t="str">
        <f t="shared" si="1"/>
        <v>Stuart Webster</v>
      </c>
      <c r="D45" s="173" t="s">
        <v>603</v>
      </c>
      <c r="E45" s="173" t="s">
        <v>604</v>
      </c>
      <c r="F45" s="173" t="s">
        <v>450</v>
      </c>
      <c r="G45" s="173" t="s">
        <v>605</v>
      </c>
      <c r="H45" s="173" t="s">
        <v>606</v>
      </c>
      <c r="I45" s="173" t="s">
        <v>606</v>
      </c>
      <c r="J45" s="25" t="s">
        <v>1488</v>
      </c>
      <c r="K45" s="173" t="s">
        <v>18</v>
      </c>
      <c r="L45" s="174"/>
      <c r="M45" s="174"/>
      <c r="N45" s="175"/>
      <c r="O45" s="175"/>
      <c r="P45" s="175"/>
      <c r="Q45" s="171">
        <v>44</v>
      </c>
      <c r="R45" s="173"/>
      <c r="S45" s="174"/>
      <c r="T45" s="201" t="s">
        <v>1495</v>
      </c>
      <c r="U45" s="16" t="s">
        <v>1497</v>
      </c>
    </row>
    <row r="46" spans="1:21" ht="18.75" customHeight="1">
      <c r="A46" s="24">
        <f t="shared" si="0"/>
        <v>45</v>
      </c>
      <c r="B46" s="115">
        <v>45710</v>
      </c>
      <c r="C46" s="5" t="str">
        <f t="shared" si="1"/>
        <v>Susan Bland</v>
      </c>
      <c r="D46" s="5" t="s">
        <v>607</v>
      </c>
      <c r="E46" s="5" t="s">
        <v>608</v>
      </c>
      <c r="F46" s="5" t="s">
        <v>450</v>
      </c>
      <c r="G46" s="5" t="s">
        <v>456</v>
      </c>
      <c r="H46" s="5" t="s">
        <v>609</v>
      </c>
      <c r="I46" s="5" t="s">
        <v>609</v>
      </c>
      <c r="J46" s="25" t="s">
        <v>1488</v>
      </c>
      <c r="K46" s="5" t="s">
        <v>18</v>
      </c>
      <c r="L46" s="51">
        <v>45831</v>
      </c>
      <c r="M46" s="51"/>
      <c r="N46" s="52">
        <v>5</v>
      </c>
      <c r="O46" s="52"/>
      <c r="P46" s="52"/>
      <c r="Q46" s="24">
        <v>45</v>
      </c>
      <c r="R46" s="5"/>
      <c r="S46" s="51">
        <v>46196</v>
      </c>
      <c r="T46" s="201" t="s">
        <v>1495</v>
      </c>
      <c r="U46" s="16" t="s">
        <v>1497</v>
      </c>
    </row>
    <row r="47" spans="1:21" s="176" customFormat="1" ht="18.75" customHeight="1">
      <c r="A47" s="171">
        <f t="shared" si="0"/>
        <v>46</v>
      </c>
      <c r="B47" s="172">
        <v>45710</v>
      </c>
      <c r="C47" s="173" t="str">
        <f t="shared" si="1"/>
        <v>Sue Claxton</v>
      </c>
      <c r="D47" s="173" t="s">
        <v>610</v>
      </c>
      <c r="E47" s="173" t="s">
        <v>611</v>
      </c>
      <c r="F47" s="173"/>
      <c r="G47" s="173" t="s">
        <v>486</v>
      </c>
      <c r="H47" s="173" t="s">
        <v>612</v>
      </c>
      <c r="I47" s="173" t="s">
        <v>612</v>
      </c>
      <c r="J47" s="25" t="s">
        <v>1488</v>
      </c>
      <c r="K47" s="173" t="s">
        <v>18</v>
      </c>
      <c r="L47" s="174"/>
      <c r="M47" s="174"/>
      <c r="N47" s="175"/>
      <c r="O47" s="175"/>
      <c r="P47" s="175"/>
      <c r="Q47" s="171">
        <v>46</v>
      </c>
      <c r="R47" s="173"/>
      <c r="S47" s="174"/>
      <c r="T47" s="201" t="s">
        <v>1495</v>
      </c>
      <c r="U47" s="16" t="s">
        <v>1497</v>
      </c>
    </row>
    <row r="48" spans="1:21" ht="18.75" customHeight="1">
      <c r="A48" s="24">
        <f t="shared" si="0"/>
        <v>47</v>
      </c>
      <c r="B48" s="115">
        <v>45710</v>
      </c>
      <c r="C48" s="5" t="str">
        <f t="shared" si="1"/>
        <v>Valerie Scott</v>
      </c>
      <c r="D48" s="5" t="s">
        <v>613</v>
      </c>
      <c r="E48" s="5" t="s">
        <v>614</v>
      </c>
      <c r="F48" s="5" t="s">
        <v>513</v>
      </c>
      <c r="G48" s="5" t="s">
        <v>615</v>
      </c>
      <c r="H48" s="5" t="s">
        <v>616</v>
      </c>
      <c r="I48" s="5" t="s">
        <v>616</v>
      </c>
      <c r="J48" s="25" t="s">
        <v>1488</v>
      </c>
      <c r="K48" s="5" t="s">
        <v>18</v>
      </c>
      <c r="L48" s="51">
        <v>46010</v>
      </c>
      <c r="M48" s="51"/>
      <c r="N48" s="52">
        <v>5</v>
      </c>
      <c r="O48" s="52"/>
      <c r="P48" s="52"/>
      <c r="Q48" s="24">
        <v>47</v>
      </c>
      <c r="R48" s="5"/>
      <c r="S48" s="51">
        <v>46375</v>
      </c>
      <c r="T48" s="201" t="s">
        <v>1495</v>
      </c>
      <c r="U48" s="16" t="s">
        <v>1497</v>
      </c>
    </row>
    <row r="49" spans="1:21" s="8" customFormat="1" ht="18.75" customHeight="1">
      <c r="A49" s="171">
        <f t="shared" si="0"/>
        <v>48</v>
      </c>
      <c r="B49" s="172">
        <v>45722</v>
      </c>
      <c r="C49" s="173" t="str">
        <f t="shared" si="1"/>
        <v>Russell Nicol</v>
      </c>
      <c r="D49" s="173" t="s">
        <v>617</v>
      </c>
      <c r="E49" s="173" t="s">
        <v>618</v>
      </c>
      <c r="F49" s="173"/>
      <c r="G49" s="173"/>
      <c r="H49" s="173" t="s">
        <v>619</v>
      </c>
      <c r="I49" s="173" t="s">
        <v>619</v>
      </c>
      <c r="J49" s="25" t="s">
        <v>1488</v>
      </c>
      <c r="K49" s="173" t="s">
        <v>10</v>
      </c>
      <c r="L49" s="174"/>
      <c r="M49" s="174"/>
      <c r="N49" s="175"/>
      <c r="O49" s="175"/>
      <c r="P49" s="175"/>
      <c r="Q49" s="171">
        <v>48</v>
      </c>
      <c r="R49" s="173"/>
      <c r="S49" s="174"/>
      <c r="T49" s="201" t="s">
        <v>1495</v>
      </c>
      <c r="U49" s="16" t="s">
        <v>1497</v>
      </c>
    </row>
    <row r="50" spans="1:21" s="176" customFormat="1" ht="18.75" customHeight="1">
      <c r="A50" s="24">
        <f t="shared" si="0"/>
        <v>49</v>
      </c>
      <c r="B50" s="115">
        <v>45723</v>
      </c>
      <c r="C50" s="5" t="str">
        <f t="shared" si="1"/>
        <v>Susan Johnson</v>
      </c>
      <c r="D50" s="5" t="s">
        <v>607</v>
      </c>
      <c r="E50" s="5" t="s">
        <v>621</v>
      </c>
      <c r="F50" s="5"/>
      <c r="G50" s="5"/>
      <c r="H50" s="5" t="s">
        <v>622</v>
      </c>
      <c r="I50" s="5" t="s">
        <v>622</v>
      </c>
      <c r="J50" s="25" t="s">
        <v>1488</v>
      </c>
      <c r="K50" s="173" t="s">
        <v>10</v>
      </c>
      <c r="L50" s="51">
        <v>45780</v>
      </c>
      <c r="M50" s="51">
        <v>46128</v>
      </c>
      <c r="N50" s="52">
        <v>5</v>
      </c>
      <c r="O50" s="52"/>
      <c r="P50" s="54" t="s">
        <v>1492</v>
      </c>
      <c r="Q50" s="24">
        <v>49</v>
      </c>
      <c r="R50" s="5"/>
      <c r="S50" s="51">
        <v>46392</v>
      </c>
      <c r="T50" s="201" t="s">
        <v>1495</v>
      </c>
      <c r="U50" s="16" t="s">
        <v>1497</v>
      </c>
    </row>
    <row r="51" spans="1:21" ht="18.75" customHeight="1">
      <c r="A51" s="24">
        <f t="shared" si="0"/>
        <v>50</v>
      </c>
      <c r="B51" s="115">
        <v>45727</v>
      </c>
      <c r="C51" s="5" t="str">
        <f t="shared" si="1"/>
        <v>Sally George</v>
      </c>
      <c r="D51" s="19" t="s">
        <v>623</v>
      </c>
      <c r="E51" s="19" t="s">
        <v>624</v>
      </c>
      <c r="F51" s="5" t="s">
        <v>625</v>
      </c>
      <c r="G51" s="5" t="s">
        <v>626</v>
      </c>
      <c r="H51" s="5" t="s">
        <v>627</v>
      </c>
      <c r="I51" s="5" t="s">
        <v>627</v>
      </c>
      <c r="J51" s="25" t="s">
        <v>1488</v>
      </c>
      <c r="K51" s="5" t="s">
        <v>18</v>
      </c>
      <c r="L51" s="51">
        <v>46003</v>
      </c>
      <c r="M51" s="51"/>
      <c r="N51" s="52">
        <v>5</v>
      </c>
      <c r="O51" s="52"/>
      <c r="P51" s="52"/>
      <c r="Q51" s="24">
        <v>50</v>
      </c>
      <c r="R51" s="5"/>
      <c r="S51" s="51">
        <v>46368</v>
      </c>
      <c r="T51" s="201" t="s">
        <v>1495</v>
      </c>
      <c r="U51" s="16" t="s">
        <v>1497</v>
      </c>
    </row>
    <row r="52" spans="1:21" s="16" customFormat="1" ht="18.75" customHeight="1">
      <c r="A52" s="171">
        <f t="shared" si="0"/>
        <v>51</v>
      </c>
      <c r="B52" s="172">
        <v>45744</v>
      </c>
      <c r="C52" s="173" t="str">
        <f t="shared" si="1"/>
        <v>Gareth Williams</v>
      </c>
      <c r="D52" s="173" t="s">
        <v>628</v>
      </c>
      <c r="E52" s="173" t="s">
        <v>629</v>
      </c>
      <c r="F52" s="173"/>
      <c r="G52" s="173"/>
      <c r="H52" s="245" t="s">
        <v>630</v>
      </c>
      <c r="I52" s="245" t="s">
        <v>630</v>
      </c>
      <c r="J52" s="25" t="s">
        <v>1488</v>
      </c>
      <c r="K52" s="173" t="s">
        <v>1491</v>
      </c>
      <c r="L52" s="174"/>
      <c r="M52" s="174"/>
      <c r="N52" s="175"/>
      <c r="O52" s="175"/>
      <c r="P52" s="175"/>
      <c r="Q52" s="171">
        <v>51</v>
      </c>
      <c r="R52" s="173"/>
      <c r="S52" s="174"/>
      <c r="T52" s="201" t="s">
        <v>1495</v>
      </c>
      <c r="U52" s="16" t="s">
        <v>1497</v>
      </c>
    </row>
    <row r="53" spans="1:21" ht="18.75" customHeight="1">
      <c r="A53" s="24">
        <f t="shared" si="0"/>
        <v>52</v>
      </c>
      <c r="B53" s="115">
        <v>45744</v>
      </c>
      <c r="C53" s="5" t="str">
        <f t="shared" si="1"/>
        <v>Gordon Briggs</v>
      </c>
      <c r="D53" s="19" t="s">
        <v>631</v>
      </c>
      <c r="E53" s="19" t="s">
        <v>632</v>
      </c>
      <c r="F53" s="5" t="s">
        <v>633</v>
      </c>
      <c r="G53" s="5" t="s">
        <v>634</v>
      </c>
      <c r="H53" s="5" t="s">
        <v>635</v>
      </c>
      <c r="I53" s="5" t="s">
        <v>635</v>
      </c>
      <c r="J53" s="25" t="s">
        <v>1488</v>
      </c>
      <c r="K53" s="5" t="s">
        <v>18</v>
      </c>
      <c r="L53" s="51">
        <v>46001</v>
      </c>
      <c r="M53" s="51"/>
      <c r="N53" s="52">
        <v>5</v>
      </c>
      <c r="O53" s="52"/>
      <c r="P53" s="52"/>
      <c r="Q53" s="24">
        <v>52</v>
      </c>
      <c r="R53" s="5"/>
      <c r="S53" s="51">
        <v>46366</v>
      </c>
      <c r="T53" s="201" t="s">
        <v>1495</v>
      </c>
      <c r="U53" s="16" t="s">
        <v>1497</v>
      </c>
    </row>
    <row r="54" spans="1:21" s="176" customFormat="1" ht="18.75" customHeight="1">
      <c r="A54" s="24">
        <f t="shared" si="0"/>
        <v>53</v>
      </c>
      <c r="B54" s="115">
        <v>45744</v>
      </c>
      <c r="C54" s="5" t="str">
        <f t="shared" si="1"/>
        <v>Sally Pawson</v>
      </c>
      <c r="D54" s="5" t="s">
        <v>623</v>
      </c>
      <c r="E54" s="5" t="s">
        <v>636</v>
      </c>
      <c r="F54" s="5" t="s">
        <v>637</v>
      </c>
      <c r="G54" s="5" t="s">
        <v>638</v>
      </c>
      <c r="H54" s="5" t="s">
        <v>639</v>
      </c>
      <c r="I54" s="5" t="s">
        <v>639</v>
      </c>
      <c r="J54" s="25" t="s">
        <v>1488</v>
      </c>
      <c r="K54" s="5" t="s">
        <v>1490</v>
      </c>
      <c r="L54" s="51">
        <v>45777</v>
      </c>
      <c r="M54" s="51"/>
      <c r="N54" s="52">
        <v>5</v>
      </c>
      <c r="O54" s="52"/>
      <c r="P54" s="52"/>
      <c r="Q54" s="24">
        <v>53</v>
      </c>
      <c r="R54" s="5"/>
      <c r="S54" s="51">
        <v>46142</v>
      </c>
      <c r="T54" s="201" t="s">
        <v>1495</v>
      </c>
      <c r="U54" s="16" t="s">
        <v>1497</v>
      </c>
    </row>
    <row r="55" spans="1:21" ht="18.75" customHeight="1">
      <c r="A55" s="24">
        <f t="shared" si="0"/>
        <v>54</v>
      </c>
      <c r="B55" s="114">
        <v>45747</v>
      </c>
      <c r="C55" s="25" t="str">
        <f t="shared" si="1"/>
        <v>Nik Urquhart</v>
      </c>
      <c r="D55" s="25" t="s">
        <v>641</v>
      </c>
      <c r="E55" s="25" t="s">
        <v>642</v>
      </c>
      <c r="F55" s="25" t="s">
        <v>643</v>
      </c>
      <c r="G55" s="25" t="s">
        <v>356</v>
      </c>
      <c r="H55" s="25" t="s">
        <v>644</v>
      </c>
      <c r="I55" s="25" t="s">
        <v>644</v>
      </c>
      <c r="J55" s="25" t="s">
        <v>1488</v>
      </c>
      <c r="K55" s="25" t="s">
        <v>9</v>
      </c>
      <c r="L55" s="53">
        <v>45791</v>
      </c>
      <c r="M55" s="53"/>
      <c r="N55" s="54">
        <v>5</v>
      </c>
      <c r="O55" s="54"/>
      <c r="P55" s="54"/>
      <c r="Q55" s="24">
        <v>54</v>
      </c>
      <c r="R55" s="25" t="s">
        <v>443</v>
      </c>
      <c r="S55" s="53">
        <v>46156</v>
      </c>
      <c r="T55" s="25" t="s">
        <v>9</v>
      </c>
      <c r="U55" s="16" t="s">
        <v>1497</v>
      </c>
    </row>
    <row r="56" spans="1:21" s="201" customFormat="1" ht="18.75" customHeight="1">
      <c r="A56" s="171">
        <f t="shared" si="0"/>
        <v>55</v>
      </c>
      <c r="B56" s="172">
        <v>45753</v>
      </c>
      <c r="C56" s="173" t="str">
        <f t="shared" si="1"/>
        <v>Valerie Wrightson</v>
      </c>
      <c r="D56" s="173" t="s">
        <v>613</v>
      </c>
      <c r="E56" s="173" t="s">
        <v>645</v>
      </c>
      <c r="F56" s="173"/>
      <c r="G56" s="173"/>
      <c r="H56" s="173" t="s">
        <v>646</v>
      </c>
      <c r="I56" s="173" t="s">
        <v>646</v>
      </c>
      <c r="J56" s="25" t="s">
        <v>1488</v>
      </c>
      <c r="K56" s="173" t="s">
        <v>10</v>
      </c>
      <c r="L56" s="174"/>
      <c r="M56" s="174"/>
      <c r="N56" s="175"/>
      <c r="O56" s="175"/>
      <c r="P56" s="175"/>
      <c r="Q56" s="171">
        <v>55</v>
      </c>
      <c r="R56" s="173"/>
      <c r="S56" s="174"/>
      <c r="T56" s="201" t="s">
        <v>1495</v>
      </c>
      <c r="U56" s="16" t="s">
        <v>1497</v>
      </c>
    </row>
    <row r="57" spans="1:21" s="201" customFormat="1" ht="18.75" customHeight="1">
      <c r="A57" s="24">
        <f t="shared" si="0"/>
        <v>56</v>
      </c>
      <c r="B57" s="115">
        <v>45763</v>
      </c>
      <c r="C57" s="5" t="str">
        <f t="shared" si="1"/>
        <v>John Swaffield</v>
      </c>
      <c r="D57" s="5" t="s">
        <v>428</v>
      </c>
      <c r="E57" s="5" t="s">
        <v>647</v>
      </c>
      <c r="F57" s="5"/>
      <c r="G57" s="5"/>
      <c r="H57" s="5" t="s">
        <v>195</v>
      </c>
      <c r="I57" s="5" t="s">
        <v>195</v>
      </c>
      <c r="J57" s="25" t="s">
        <v>1488</v>
      </c>
      <c r="K57" s="173" t="s">
        <v>10</v>
      </c>
      <c r="L57" s="51">
        <v>45985</v>
      </c>
      <c r="M57" s="51"/>
      <c r="N57" s="52">
        <v>5</v>
      </c>
      <c r="O57" s="52"/>
      <c r="P57" s="52"/>
      <c r="Q57" s="24">
        <v>56</v>
      </c>
      <c r="R57" s="5"/>
      <c r="S57" s="51">
        <v>46350</v>
      </c>
      <c r="T57" s="201" t="s">
        <v>1495</v>
      </c>
      <c r="U57" s="16" t="s">
        <v>1497</v>
      </c>
    </row>
    <row r="58" spans="1:21" ht="18.75" customHeight="1">
      <c r="A58" s="197">
        <f t="shared" si="0"/>
        <v>57</v>
      </c>
      <c r="B58" s="198">
        <v>45763</v>
      </c>
      <c r="C58" s="19" t="str">
        <f t="shared" si="1"/>
        <v>Lyn Blake</v>
      </c>
      <c r="D58" s="19" t="s">
        <v>557</v>
      </c>
      <c r="E58" s="19" t="s">
        <v>648</v>
      </c>
      <c r="F58" s="19" t="s">
        <v>423</v>
      </c>
      <c r="G58" s="19" t="s">
        <v>583</v>
      </c>
      <c r="H58" s="19" t="s">
        <v>649</v>
      </c>
      <c r="I58" s="19" t="s">
        <v>649</v>
      </c>
      <c r="J58" s="25" t="s">
        <v>1488</v>
      </c>
      <c r="K58" s="19" t="s">
        <v>18</v>
      </c>
      <c r="L58" s="199">
        <v>46028</v>
      </c>
      <c r="M58" s="199"/>
      <c r="N58" s="200">
        <v>5</v>
      </c>
      <c r="O58" s="200"/>
      <c r="P58" s="200"/>
      <c r="Q58" s="197">
        <v>57</v>
      </c>
      <c r="R58" s="19"/>
      <c r="S58" s="199">
        <v>46393</v>
      </c>
      <c r="T58" s="201" t="s">
        <v>1495</v>
      </c>
      <c r="U58" s="16" t="s">
        <v>1497</v>
      </c>
    </row>
    <row r="59" spans="1:21" s="176" customFormat="1" ht="18.75" customHeight="1">
      <c r="A59" s="197">
        <f t="shared" si="0"/>
        <v>58</v>
      </c>
      <c r="B59" s="198">
        <v>45763</v>
      </c>
      <c r="C59" s="19" t="str">
        <f t="shared" si="1"/>
        <v>Richard Pawson</v>
      </c>
      <c r="D59" s="19" t="s">
        <v>587</v>
      </c>
      <c r="E59" s="19" t="s">
        <v>636</v>
      </c>
      <c r="F59" s="19" t="s">
        <v>637</v>
      </c>
      <c r="G59" s="19" t="s">
        <v>638</v>
      </c>
      <c r="H59" s="19" t="s">
        <v>650</v>
      </c>
      <c r="I59" s="19" t="s">
        <v>650</v>
      </c>
      <c r="J59" s="25" t="s">
        <v>1488</v>
      </c>
      <c r="K59" s="173" t="s">
        <v>10</v>
      </c>
      <c r="L59" s="199">
        <v>45777</v>
      </c>
      <c r="M59" s="199"/>
      <c r="N59" s="200"/>
      <c r="O59" s="200"/>
      <c r="P59" s="200"/>
      <c r="Q59" s="197">
        <v>58</v>
      </c>
      <c r="R59" s="19" t="s">
        <v>651</v>
      </c>
      <c r="S59" s="199">
        <v>46142</v>
      </c>
      <c r="T59" s="201" t="s">
        <v>1495</v>
      </c>
      <c r="U59" s="16" t="s">
        <v>1497</v>
      </c>
    </row>
    <row r="60" spans="1:21" s="176" customFormat="1" ht="18.75" customHeight="1">
      <c r="A60" s="24">
        <f t="shared" si="0"/>
        <v>59</v>
      </c>
      <c r="B60" s="115">
        <v>45763</v>
      </c>
      <c r="C60" s="5" t="str">
        <f t="shared" si="1"/>
        <v>Stella  Walter</v>
      </c>
      <c r="D60" s="5" t="s">
        <v>652</v>
      </c>
      <c r="E60" s="5" t="s">
        <v>653</v>
      </c>
      <c r="F60" s="5" t="s">
        <v>654</v>
      </c>
      <c r="G60" s="5" t="s">
        <v>655</v>
      </c>
      <c r="H60" s="5" t="s">
        <v>656</v>
      </c>
      <c r="I60" s="5" t="s">
        <v>656</v>
      </c>
      <c r="J60" s="25" t="s">
        <v>1488</v>
      </c>
      <c r="K60" s="173" t="s">
        <v>10</v>
      </c>
      <c r="L60" s="51">
        <v>46003</v>
      </c>
      <c r="M60" s="51"/>
      <c r="N60" s="52">
        <v>5</v>
      </c>
      <c r="O60" s="52"/>
      <c r="P60" s="52"/>
      <c r="Q60" s="24">
        <v>59</v>
      </c>
      <c r="R60" s="5"/>
      <c r="S60" s="51">
        <v>46368</v>
      </c>
      <c r="T60" s="201" t="s">
        <v>1495</v>
      </c>
      <c r="U60" s="16" t="s">
        <v>1497</v>
      </c>
    </row>
    <row r="61" spans="1:21" s="176" customFormat="1" ht="18.75" customHeight="1">
      <c r="A61" s="171">
        <f t="shared" si="0"/>
        <v>60</v>
      </c>
      <c r="B61" s="172">
        <v>45763</v>
      </c>
      <c r="C61" s="173" t="str">
        <f t="shared" si="1"/>
        <v>Vatsal Patel</v>
      </c>
      <c r="D61" s="173" t="s">
        <v>657</v>
      </c>
      <c r="E61" s="173" t="s">
        <v>658</v>
      </c>
      <c r="F61" s="173"/>
      <c r="G61" s="173"/>
      <c r="H61" s="173" t="s">
        <v>659</v>
      </c>
      <c r="I61" s="173" t="s">
        <v>659</v>
      </c>
      <c r="J61" s="25" t="s">
        <v>1488</v>
      </c>
      <c r="K61" s="173" t="s">
        <v>10</v>
      </c>
      <c r="L61" s="174"/>
      <c r="M61" s="174"/>
      <c r="N61" s="175"/>
      <c r="O61" s="175"/>
      <c r="P61" s="175"/>
      <c r="Q61" s="171">
        <v>60</v>
      </c>
      <c r="R61" s="173"/>
      <c r="S61" s="174"/>
      <c r="T61" s="201" t="s">
        <v>1495</v>
      </c>
      <c r="U61" s="16" t="s">
        <v>1497</v>
      </c>
    </row>
    <row r="62" spans="1:21" s="176" customFormat="1" ht="18.75" customHeight="1">
      <c r="A62" s="171">
        <f t="shared" si="0"/>
        <v>61</v>
      </c>
      <c r="B62" s="172">
        <v>45765</v>
      </c>
      <c r="C62" s="173" t="str">
        <f t="shared" si="1"/>
        <v>Irfan Younas</v>
      </c>
      <c r="D62" s="173" t="s">
        <v>660</v>
      </c>
      <c r="E62" s="173" t="s">
        <v>661</v>
      </c>
      <c r="F62" s="173" t="s">
        <v>450</v>
      </c>
      <c r="G62" s="173" t="s">
        <v>662</v>
      </c>
      <c r="H62" s="173" t="s">
        <v>663</v>
      </c>
      <c r="I62" s="173" t="s">
        <v>663</v>
      </c>
      <c r="J62" s="25" t="s">
        <v>1488</v>
      </c>
      <c r="K62" s="173" t="s">
        <v>18</v>
      </c>
      <c r="L62" s="174"/>
      <c r="M62" s="174"/>
      <c r="N62" s="175"/>
      <c r="O62" s="175"/>
      <c r="P62" s="175"/>
      <c r="Q62" s="171">
        <v>61</v>
      </c>
      <c r="R62" s="173"/>
      <c r="S62" s="174"/>
      <c r="T62" s="201" t="s">
        <v>1495</v>
      </c>
      <c r="U62" s="16" t="s">
        <v>1497</v>
      </c>
    </row>
    <row r="63" spans="1:21" s="176" customFormat="1" ht="18.75" customHeight="1">
      <c r="A63" s="171">
        <f t="shared" si="0"/>
        <v>62</v>
      </c>
      <c r="B63" s="172">
        <v>45766</v>
      </c>
      <c r="C63" s="173" t="str">
        <f t="shared" si="1"/>
        <v>Carol  Pringle</v>
      </c>
      <c r="D63" s="173" t="s">
        <v>664</v>
      </c>
      <c r="E63" s="173" t="s">
        <v>665</v>
      </c>
      <c r="F63" s="173"/>
      <c r="G63" s="173"/>
      <c r="H63" s="173" t="s">
        <v>666</v>
      </c>
      <c r="I63" s="173" t="s">
        <v>666</v>
      </c>
      <c r="J63" s="25" t="s">
        <v>1488</v>
      </c>
      <c r="K63" s="173" t="s">
        <v>10</v>
      </c>
      <c r="L63" s="174"/>
      <c r="M63" s="174"/>
      <c r="N63" s="175"/>
      <c r="O63" s="175"/>
      <c r="P63" s="175"/>
      <c r="Q63" s="171">
        <v>62</v>
      </c>
      <c r="R63" s="173"/>
      <c r="S63" s="174"/>
      <c r="T63" s="201" t="s">
        <v>1495</v>
      </c>
      <c r="U63" s="16" t="s">
        <v>1497</v>
      </c>
    </row>
    <row r="64" spans="1:21" s="176" customFormat="1" ht="18.75" customHeight="1">
      <c r="A64" s="171">
        <f t="shared" ref="A64:A127" si="2">Q64</f>
        <v>63</v>
      </c>
      <c r="B64" s="172">
        <v>45766</v>
      </c>
      <c r="C64" s="173" t="str">
        <f t="shared" si="1"/>
        <v>Caroline Rogerson</v>
      </c>
      <c r="D64" s="173" t="s">
        <v>473</v>
      </c>
      <c r="E64" s="173" t="s">
        <v>667</v>
      </c>
      <c r="F64" s="173"/>
      <c r="G64" s="173"/>
      <c r="H64" s="173" t="s">
        <v>668</v>
      </c>
      <c r="I64" s="173" t="s">
        <v>668</v>
      </c>
      <c r="J64" s="25" t="s">
        <v>1488</v>
      </c>
      <c r="K64" s="5" t="s">
        <v>1490</v>
      </c>
      <c r="L64" s="174"/>
      <c r="M64" s="174"/>
      <c r="N64" s="175"/>
      <c r="O64" s="175"/>
      <c r="P64" s="175"/>
      <c r="Q64" s="171">
        <v>63</v>
      </c>
      <c r="R64" s="173"/>
      <c r="S64" s="174"/>
      <c r="T64" s="201" t="s">
        <v>1495</v>
      </c>
      <c r="U64" s="16" t="s">
        <v>1497</v>
      </c>
    </row>
    <row r="65" spans="1:21" s="176" customFormat="1" ht="18.75" customHeight="1">
      <c r="A65" s="171">
        <f t="shared" si="2"/>
        <v>64</v>
      </c>
      <c r="B65" s="172">
        <v>45766</v>
      </c>
      <c r="C65" s="173" t="str">
        <f t="shared" si="1"/>
        <v>Chris Chattam</v>
      </c>
      <c r="D65" s="173" t="s">
        <v>669</v>
      </c>
      <c r="E65" s="173" t="s">
        <v>670</v>
      </c>
      <c r="F65" s="173"/>
      <c r="G65" s="173"/>
      <c r="H65" s="173" t="s">
        <v>671</v>
      </c>
      <c r="I65" s="173" t="s">
        <v>671</v>
      </c>
      <c r="J65" s="25" t="s">
        <v>1488</v>
      </c>
      <c r="K65" s="5" t="s">
        <v>1490</v>
      </c>
      <c r="L65" s="174"/>
      <c r="M65" s="174"/>
      <c r="N65" s="175"/>
      <c r="O65" s="175"/>
      <c r="P65" s="175"/>
      <c r="Q65" s="171">
        <v>64</v>
      </c>
      <c r="R65" s="173"/>
      <c r="S65" s="174"/>
      <c r="T65" s="201" t="s">
        <v>1495</v>
      </c>
      <c r="U65" s="16" t="s">
        <v>1497</v>
      </c>
    </row>
    <row r="66" spans="1:21" ht="18.75" customHeight="1">
      <c r="A66" s="171">
        <f t="shared" si="2"/>
        <v>65</v>
      </c>
      <c r="B66" s="172">
        <v>45766</v>
      </c>
      <c r="C66" s="173" t="str">
        <f t="shared" ref="C66:C129" si="3">CONCATENATE(D:D," ",E:E)</f>
        <v>Dareen A</v>
      </c>
      <c r="D66" s="173" t="s">
        <v>672</v>
      </c>
      <c r="E66" s="173" t="s">
        <v>673</v>
      </c>
      <c r="F66" s="173"/>
      <c r="G66" s="173"/>
      <c r="H66" s="173" t="s">
        <v>674</v>
      </c>
      <c r="I66" s="173" t="s">
        <v>674</v>
      </c>
      <c r="J66" s="25" t="s">
        <v>1488</v>
      </c>
      <c r="K66" s="5" t="s">
        <v>1490</v>
      </c>
      <c r="L66" s="174"/>
      <c r="M66" s="174"/>
      <c r="N66" s="175"/>
      <c r="O66" s="175"/>
      <c r="P66" s="175"/>
      <c r="Q66" s="171">
        <v>65</v>
      </c>
      <c r="R66" s="173"/>
      <c r="S66" s="174"/>
      <c r="T66" s="201" t="s">
        <v>1495</v>
      </c>
      <c r="U66" s="16" t="s">
        <v>1497</v>
      </c>
    </row>
    <row r="67" spans="1:21" s="176" customFormat="1" ht="18.75" customHeight="1">
      <c r="A67" s="171">
        <f t="shared" si="2"/>
        <v>66</v>
      </c>
      <c r="B67" s="172">
        <v>45766</v>
      </c>
      <c r="C67" s="173" t="str">
        <f t="shared" si="3"/>
        <v>Debbie Potter</v>
      </c>
      <c r="D67" s="173" t="s">
        <v>675</v>
      </c>
      <c r="E67" s="173" t="s">
        <v>676</v>
      </c>
      <c r="F67" s="173"/>
      <c r="G67" s="173"/>
      <c r="H67" s="173" t="s">
        <v>677</v>
      </c>
      <c r="I67" s="173" t="s">
        <v>677</v>
      </c>
      <c r="J67" s="25" t="s">
        <v>1488</v>
      </c>
      <c r="K67" s="173" t="s">
        <v>10</v>
      </c>
      <c r="L67" s="174"/>
      <c r="M67" s="174"/>
      <c r="N67" s="175"/>
      <c r="O67" s="175"/>
      <c r="P67" s="175"/>
      <c r="Q67" s="171">
        <v>66</v>
      </c>
      <c r="R67" s="173"/>
      <c r="S67" s="174"/>
      <c r="T67" s="201" t="s">
        <v>1495</v>
      </c>
      <c r="U67" s="16" t="s">
        <v>1497</v>
      </c>
    </row>
    <row r="68" spans="1:21" ht="18.75" customHeight="1">
      <c r="A68" s="24">
        <f t="shared" si="2"/>
        <v>67</v>
      </c>
      <c r="B68" s="115">
        <v>45766</v>
      </c>
      <c r="C68" s="5" t="str">
        <f t="shared" si="3"/>
        <v>Melanie Hughes</v>
      </c>
      <c r="D68" s="5" t="s">
        <v>678</v>
      </c>
      <c r="E68" s="5" t="s">
        <v>679</v>
      </c>
      <c r="F68" s="5"/>
      <c r="G68" s="5"/>
      <c r="H68" s="5" t="s">
        <v>221</v>
      </c>
      <c r="I68" s="5" t="s">
        <v>221</v>
      </c>
      <c r="J68" s="25" t="s">
        <v>1488</v>
      </c>
      <c r="K68" s="173" t="s">
        <v>10</v>
      </c>
      <c r="L68" s="51">
        <v>45985</v>
      </c>
      <c r="M68" s="51"/>
      <c r="N68" s="52">
        <v>5</v>
      </c>
      <c r="O68" s="52"/>
      <c r="P68" s="52"/>
      <c r="Q68" s="24">
        <v>67</v>
      </c>
      <c r="R68" s="5"/>
      <c r="S68" s="51">
        <v>46350</v>
      </c>
      <c r="T68" s="201" t="s">
        <v>1495</v>
      </c>
      <c r="U68" s="16" t="s">
        <v>1497</v>
      </c>
    </row>
    <row r="69" spans="1:21" s="176" customFormat="1" ht="18.75" customHeight="1">
      <c r="A69" s="171">
        <f t="shared" si="2"/>
        <v>68</v>
      </c>
      <c r="B69" s="172">
        <v>45766</v>
      </c>
      <c r="C69" s="173" t="str">
        <f t="shared" si="3"/>
        <v>Natasha T</v>
      </c>
      <c r="D69" s="173" t="s">
        <v>680</v>
      </c>
      <c r="E69" s="173" t="s">
        <v>681</v>
      </c>
      <c r="F69" s="173"/>
      <c r="G69" s="173"/>
      <c r="H69" s="173" t="s">
        <v>682</v>
      </c>
      <c r="I69" s="173" t="s">
        <v>682</v>
      </c>
      <c r="J69" s="25" t="s">
        <v>1488</v>
      </c>
      <c r="K69" s="5" t="s">
        <v>1490</v>
      </c>
      <c r="L69" s="174"/>
      <c r="M69" s="174"/>
      <c r="N69" s="175"/>
      <c r="O69" s="175"/>
      <c r="P69" s="175"/>
      <c r="Q69" s="171">
        <v>68</v>
      </c>
      <c r="R69" s="173"/>
      <c r="S69" s="174"/>
      <c r="T69" s="201" t="s">
        <v>1495</v>
      </c>
      <c r="U69" s="16" t="s">
        <v>1497</v>
      </c>
    </row>
    <row r="70" spans="1:21" ht="18.75" customHeight="1">
      <c r="A70" s="24">
        <f t="shared" si="2"/>
        <v>69</v>
      </c>
      <c r="B70" s="115">
        <v>45766</v>
      </c>
      <c r="C70" s="5" t="str">
        <f t="shared" si="3"/>
        <v>Sue Kielty</v>
      </c>
      <c r="D70" s="5" t="s">
        <v>610</v>
      </c>
      <c r="E70" s="5" t="s">
        <v>434</v>
      </c>
      <c r="F70" s="5" t="s">
        <v>683</v>
      </c>
      <c r="G70" s="5" t="s">
        <v>684</v>
      </c>
      <c r="H70" s="5" t="s">
        <v>685</v>
      </c>
      <c r="I70" s="5" t="s">
        <v>685</v>
      </c>
      <c r="J70" s="25" t="s">
        <v>1488</v>
      </c>
      <c r="K70" s="5" t="s">
        <v>1490</v>
      </c>
      <c r="L70" s="51">
        <v>45776</v>
      </c>
      <c r="M70" s="51" t="s">
        <v>686</v>
      </c>
      <c r="N70" s="52">
        <v>5</v>
      </c>
      <c r="O70" s="52"/>
      <c r="P70" s="54" t="s">
        <v>1492</v>
      </c>
      <c r="Q70" s="24">
        <v>69</v>
      </c>
      <c r="R70" s="5" t="s">
        <v>687</v>
      </c>
      <c r="S70" s="53">
        <v>46113</v>
      </c>
      <c r="T70" s="201" t="s">
        <v>1495</v>
      </c>
      <c r="U70" s="16" t="s">
        <v>1497</v>
      </c>
    </row>
    <row r="71" spans="1:21" ht="18.75" customHeight="1">
      <c r="A71" s="171">
        <f t="shared" si="2"/>
        <v>70</v>
      </c>
      <c r="B71" s="172">
        <v>45769</v>
      </c>
      <c r="C71" s="173" t="str">
        <f t="shared" si="3"/>
        <v>Glen Watson</v>
      </c>
      <c r="D71" s="173" t="s">
        <v>688</v>
      </c>
      <c r="E71" s="173" t="s">
        <v>689</v>
      </c>
      <c r="F71" s="173"/>
      <c r="G71" s="173"/>
      <c r="H71" s="173" t="s">
        <v>690</v>
      </c>
      <c r="I71" s="173" t="s">
        <v>690</v>
      </c>
      <c r="J71" s="25" t="s">
        <v>1488</v>
      </c>
      <c r="K71" s="173" t="s">
        <v>10</v>
      </c>
      <c r="L71" s="174"/>
      <c r="M71" s="174"/>
      <c r="N71" s="175"/>
      <c r="O71" s="175"/>
      <c r="P71" s="175"/>
      <c r="Q71" s="171">
        <v>70</v>
      </c>
      <c r="R71" s="173"/>
      <c r="S71" s="174"/>
      <c r="T71" s="201" t="s">
        <v>1495</v>
      </c>
      <c r="U71" s="16" t="s">
        <v>1497</v>
      </c>
    </row>
    <row r="72" spans="1:21" ht="18.75" customHeight="1">
      <c r="A72" s="24">
        <f t="shared" si="2"/>
        <v>71</v>
      </c>
      <c r="B72" s="114">
        <v>45770</v>
      </c>
      <c r="C72" s="25" t="str">
        <f t="shared" si="3"/>
        <v>Jenny Lomas</v>
      </c>
      <c r="D72" s="25" t="s">
        <v>533</v>
      </c>
      <c r="E72" s="25" t="s">
        <v>691</v>
      </c>
      <c r="F72" s="25" t="s">
        <v>692</v>
      </c>
      <c r="G72" s="25" t="s">
        <v>328</v>
      </c>
      <c r="H72" s="25" t="s">
        <v>323</v>
      </c>
      <c r="I72" s="25" t="s">
        <v>323</v>
      </c>
      <c r="J72" s="25" t="s">
        <v>1488</v>
      </c>
      <c r="K72" s="173" t="s">
        <v>10</v>
      </c>
      <c r="L72" s="53" t="s">
        <v>693</v>
      </c>
      <c r="M72" s="53"/>
      <c r="N72" s="54">
        <v>10</v>
      </c>
      <c r="O72" s="54"/>
      <c r="P72" s="54"/>
      <c r="Q72" s="24">
        <v>71</v>
      </c>
      <c r="R72" s="25" t="s">
        <v>694</v>
      </c>
      <c r="S72" s="53">
        <v>46388</v>
      </c>
      <c r="T72" s="201" t="s">
        <v>1495</v>
      </c>
      <c r="U72" s="16" t="s">
        <v>1497</v>
      </c>
    </row>
    <row r="73" spans="1:21" ht="18.75" customHeight="1">
      <c r="A73" s="24">
        <f t="shared" si="2"/>
        <v>72</v>
      </c>
      <c r="B73" s="115">
        <v>45771</v>
      </c>
      <c r="C73" s="5" t="str">
        <f t="shared" si="3"/>
        <v>Isabelle Kielty</v>
      </c>
      <c r="D73" s="5" t="s">
        <v>695</v>
      </c>
      <c r="E73" s="5" t="s">
        <v>434</v>
      </c>
      <c r="F73" s="5" t="s">
        <v>683</v>
      </c>
      <c r="G73" s="5" t="s">
        <v>684</v>
      </c>
      <c r="H73" s="5" t="s">
        <v>696</v>
      </c>
      <c r="I73" s="5" t="s">
        <v>696</v>
      </c>
      <c r="J73" s="25" t="s">
        <v>1488</v>
      </c>
      <c r="K73" s="5" t="s">
        <v>1489</v>
      </c>
      <c r="L73" s="51">
        <v>45776</v>
      </c>
      <c r="M73" s="51" t="s">
        <v>686</v>
      </c>
      <c r="N73" s="52">
        <v>0</v>
      </c>
      <c r="O73" s="52"/>
      <c r="P73" s="52"/>
      <c r="Q73" s="24">
        <v>72</v>
      </c>
      <c r="R73" s="5" t="s">
        <v>687</v>
      </c>
      <c r="S73" s="53">
        <v>46113</v>
      </c>
      <c r="T73" s="201" t="s">
        <v>1495</v>
      </c>
      <c r="U73" s="16" t="s">
        <v>1497</v>
      </c>
    </row>
    <row r="74" spans="1:21" ht="18.75" customHeight="1">
      <c r="A74" s="24">
        <f t="shared" si="2"/>
        <v>73</v>
      </c>
      <c r="B74" s="115">
        <v>45771</v>
      </c>
      <c r="C74" s="5" t="str">
        <f t="shared" si="3"/>
        <v>Jamieson Kielty</v>
      </c>
      <c r="D74" s="5" t="s">
        <v>697</v>
      </c>
      <c r="E74" s="5" t="s">
        <v>434</v>
      </c>
      <c r="F74" s="5" t="s">
        <v>435</v>
      </c>
      <c r="G74" s="5" t="s">
        <v>130</v>
      </c>
      <c r="H74" s="5" t="s">
        <v>698</v>
      </c>
      <c r="I74" s="5" t="s">
        <v>698</v>
      </c>
      <c r="J74" s="25" t="s">
        <v>1488</v>
      </c>
      <c r="K74" s="5" t="s">
        <v>1489</v>
      </c>
      <c r="L74" s="51">
        <v>45776</v>
      </c>
      <c r="M74" s="51" t="s">
        <v>436</v>
      </c>
      <c r="N74" s="52">
        <v>0</v>
      </c>
      <c r="O74" s="52"/>
      <c r="P74" s="52"/>
      <c r="Q74" s="24">
        <v>73</v>
      </c>
      <c r="R74" s="5" t="s">
        <v>699</v>
      </c>
      <c r="S74" s="53">
        <v>46113</v>
      </c>
      <c r="T74" s="201" t="s">
        <v>1495</v>
      </c>
      <c r="U74" s="16" t="s">
        <v>1497</v>
      </c>
    </row>
    <row r="75" spans="1:21" s="176" customFormat="1" ht="18.75" customHeight="1">
      <c r="A75" s="24">
        <f t="shared" si="2"/>
        <v>74</v>
      </c>
      <c r="B75" s="115">
        <v>45771</v>
      </c>
      <c r="C75" s="5" t="str">
        <f t="shared" si="3"/>
        <v>Mark Kielty</v>
      </c>
      <c r="D75" s="5" t="s">
        <v>700</v>
      </c>
      <c r="E75" s="5" t="s">
        <v>434</v>
      </c>
      <c r="F75" s="5" t="s">
        <v>683</v>
      </c>
      <c r="G75" s="5" t="s">
        <v>684</v>
      </c>
      <c r="H75" s="5" t="s">
        <v>701</v>
      </c>
      <c r="I75" s="5" t="s">
        <v>701</v>
      </c>
      <c r="J75" s="25" t="s">
        <v>1488</v>
      </c>
      <c r="K75" s="5" t="s">
        <v>1489</v>
      </c>
      <c r="L75" s="51">
        <v>45776</v>
      </c>
      <c r="M75" s="51" t="s">
        <v>686</v>
      </c>
      <c r="N75" s="52">
        <v>5</v>
      </c>
      <c r="O75" s="52"/>
      <c r="P75" s="52"/>
      <c r="Q75" s="24">
        <v>74</v>
      </c>
      <c r="R75" s="5" t="s">
        <v>687</v>
      </c>
      <c r="S75" s="53">
        <v>46113</v>
      </c>
      <c r="T75" s="201" t="s">
        <v>1495</v>
      </c>
      <c r="U75" s="16" t="s">
        <v>1497</v>
      </c>
    </row>
    <row r="76" spans="1:21" s="176" customFormat="1" ht="18.75" customHeight="1">
      <c r="A76" s="24">
        <f t="shared" si="2"/>
        <v>75</v>
      </c>
      <c r="B76" s="115">
        <v>45771</v>
      </c>
      <c r="C76" s="5" t="str">
        <f t="shared" si="3"/>
        <v>John Kielty</v>
      </c>
      <c r="D76" s="5" t="s">
        <v>428</v>
      </c>
      <c r="E76" s="5" t="s">
        <v>434</v>
      </c>
      <c r="F76" s="46" t="s">
        <v>702</v>
      </c>
      <c r="G76" s="46" t="s">
        <v>703</v>
      </c>
      <c r="H76" s="5" t="s">
        <v>704</v>
      </c>
      <c r="I76" s="5" t="s">
        <v>704</v>
      </c>
      <c r="J76" s="25" t="s">
        <v>1488</v>
      </c>
      <c r="K76" s="5" t="s">
        <v>1489</v>
      </c>
      <c r="L76" s="51">
        <v>45776</v>
      </c>
      <c r="M76" s="51">
        <v>46138</v>
      </c>
      <c r="N76" s="52">
        <v>5</v>
      </c>
      <c r="O76" s="52"/>
      <c r="P76" s="52" t="s">
        <v>463</v>
      </c>
      <c r="Q76" s="24">
        <v>75</v>
      </c>
      <c r="R76" s="5"/>
      <c r="S76" s="51">
        <v>46478</v>
      </c>
      <c r="T76" s="201" t="s">
        <v>1495</v>
      </c>
      <c r="U76" s="16" t="s">
        <v>1497</v>
      </c>
    </row>
    <row r="77" spans="1:21" ht="18.75" customHeight="1">
      <c r="A77" s="171">
        <f t="shared" si="2"/>
        <v>76</v>
      </c>
      <c r="B77" s="172">
        <v>45771</v>
      </c>
      <c r="C77" s="173" t="str">
        <f t="shared" si="3"/>
        <v>Paul Benson</v>
      </c>
      <c r="D77" s="173" t="s">
        <v>705</v>
      </c>
      <c r="E77" s="255" t="s">
        <v>706</v>
      </c>
      <c r="F77" s="243"/>
      <c r="G77" s="256"/>
      <c r="H77" s="258" t="s">
        <v>707</v>
      </c>
      <c r="I77" s="258" t="s">
        <v>707</v>
      </c>
      <c r="J77" s="25" t="s">
        <v>1488</v>
      </c>
      <c r="K77" s="5" t="s">
        <v>1490</v>
      </c>
      <c r="L77" s="174"/>
      <c r="M77" s="174"/>
      <c r="N77" s="175"/>
      <c r="O77" s="175"/>
      <c r="P77" s="175"/>
      <c r="Q77" s="171">
        <v>76</v>
      </c>
      <c r="R77" s="173"/>
      <c r="S77" s="174"/>
      <c r="T77" s="201" t="s">
        <v>1495</v>
      </c>
      <c r="U77" s="16" t="s">
        <v>1497</v>
      </c>
    </row>
    <row r="78" spans="1:21" ht="18.75" customHeight="1">
      <c r="A78" s="171">
        <f t="shared" si="2"/>
        <v>77</v>
      </c>
      <c r="B78" s="172">
        <v>45776</v>
      </c>
      <c r="C78" s="173" t="str">
        <f t="shared" si="3"/>
        <v>Agnieszka Lipka</v>
      </c>
      <c r="D78" s="173" t="s">
        <v>708</v>
      </c>
      <c r="E78" s="173" t="s">
        <v>709</v>
      </c>
      <c r="F78" s="231"/>
      <c r="G78" s="231"/>
      <c r="H78" s="173" t="s">
        <v>710</v>
      </c>
      <c r="I78" s="173" t="s">
        <v>710</v>
      </c>
      <c r="J78" s="25" t="s">
        <v>1488</v>
      </c>
      <c r="K78" s="173" t="s">
        <v>10</v>
      </c>
      <c r="L78" s="174"/>
      <c r="M78" s="174"/>
      <c r="N78" s="175"/>
      <c r="O78" s="175"/>
      <c r="P78" s="175"/>
      <c r="Q78" s="171">
        <v>77</v>
      </c>
      <c r="R78" s="173"/>
      <c r="S78" s="174"/>
      <c r="T78" s="201" t="s">
        <v>1495</v>
      </c>
      <c r="U78" s="16" t="s">
        <v>1497</v>
      </c>
    </row>
    <row r="79" spans="1:21" s="176" customFormat="1" ht="18.75" customHeight="1">
      <c r="A79" s="24">
        <f t="shared" si="2"/>
        <v>78</v>
      </c>
      <c r="B79" s="115">
        <v>45776</v>
      </c>
      <c r="C79" s="5" t="str">
        <f t="shared" si="3"/>
        <v>Andy Telasai Anak Indit</v>
      </c>
      <c r="D79" s="5" t="s">
        <v>711</v>
      </c>
      <c r="E79" s="5" t="s">
        <v>712</v>
      </c>
      <c r="F79" s="150" t="s">
        <v>713</v>
      </c>
      <c r="G79" s="244" t="s">
        <v>207</v>
      </c>
      <c r="H79" s="99" t="s">
        <v>714</v>
      </c>
      <c r="I79" s="99" t="s">
        <v>714</v>
      </c>
      <c r="J79" s="25" t="s">
        <v>1488</v>
      </c>
      <c r="K79" s="173" t="s">
        <v>10</v>
      </c>
      <c r="L79" s="51">
        <v>46000</v>
      </c>
      <c r="M79" s="51"/>
      <c r="N79" s="52">
        <v>5</v>
      </c>
      <c r="O79" s="52"/>
      <c r="P79" s="52"/>
      <c r="Q79" s="24">
        <v>78</v>
      </c>
      <c r="R79" s="5"/>
      <c r="S79" s="51">
        <v>46365</v>
      </c>
      <c r="T79" s="201" t="s">
        <v>1495</v>
      </c>
      <c r="U79" s="16" t="s">
        <v>1497</v>
      </c>
    </row>
    <row r="80" spans="1:21" ht="18.75" customHeight="1">
      <c r="A80" s="24">
        <f t="shared" si="2"/>
        <v>79</v>
      </c>
      <c r="B80" s="115">
        <v>45776</v>
      </c>
      <c r="C80" s="5" t="str">
        <f t="shared" si="3"/>
        <v>Jane Smith</v>
      </c>
      <c r="D80" s="5" t="s">
        <v>529</v>
      </c>
      <c r="E80" s="5" t="s">
        <v>715</v>
      </c>
      <c r="F80" s="5"/>
      <c r="G80" s="5"/>
      <c r="H80" s="5" t="s">
        <v>716</v>
      </c>
      <c r="I80" s="5" t="s">
        <v>716</v>
      </c>
      <c r="J80" s="25" t="s">
        <v>1488</v>
      </c>
      <c r="K80" s="5" t="s">
        <v>18</v>
      </c>
      <c r="L80" s="51">
        <v>46006</v>
      </c>
      <c r="M80" s="51"/>
      <c r="N80" s="52">
        <v>5</v>
      </c>
      <c r="O80" s="52"/>
      <c r="P80" s="52"/>
      <c r="Q80" s="24">
        <v>79</v>
      </c>
      <c r="R80" s="5"/>
      <c r="S80" s="51">
        <v>46371</v>
      </c>
      <c r="T80" s="201" t="s">
        <v>1495</v>
      </c>
      <c r="U80" s="16" t="s">
        <v>1497</v>
      </c>
    </row>
    <row r="81" spans="1:21" s="176" customFormat="1" ht="18.75" customHeight="1">
      <c r="A81" s="171">
        <f t="shared" si="2"/>
        <v>80</v>
      </c>
      <c r="B81" s="172">
        <v>45776</v>
      </c>
      <c r="C81" s="173" t="str">
        <f t="shared" si="3"/>
        <v>John Bone</v>
      </c>
      <c r="D81" s="173" t="s">
        <v>428</v>
      </c>
      <c r="E81" s="173" t="s">
        <v>717</v>
      </c>
      <c r="F81" s="173"/>
      <c r="G81" s="173"/>
      <c r="H81" s="173" t="s">
        <v>718</v>
      </c>
      <c r="I81" s="173" t="s">
        <v>718</v>
      </c>
      <c r="J81" s="25" t="s">
        <v>1488</v>
      </c>
      <c r="K81" s="173" t="s">
        <v>18</v>
      </c>
      <c r="L81" s="174"/>
      <c r="M81" s="174"/>
      <c r="N81" s="175"/>
      <c r="O81" s="175"/>
      <c r="P81" s="175"/>
      <c r="Q81" s="171">
        <v>80</v>
      </c>
      <c r="R81" s="173"/>
      <c r="S81" s="174"/>
      <c r="T81" s="201" t="s">
        <v>1495</v>
      </c>
      <c r="U81" s="16" t="s">
        <v>1497</v>
      </c>
    </row>
    <row r="82" spans="1:21" ht="18.75" customHeight="1">
      <c r="A82" s="24">
        <f t="shared" si="2"/>
        <v>81</v>
      </c>
      <c r="B82" s="115">
        <v>45776</v>
      </c>
      <c r="C82" s="5" t="str">
        <f t="shared" si="3"/>
        <v>John Wasley</v>
      </c>
      <c r="D82" s="5" t="s">
        <v>428</v>
      </c>
      <c r="E82" s="5" t="s">
        <v>719</v>
      </c>
      <c r="F82" s="5" t="s">
        <v>142</v>
      </c>
      <c r="G82" s="5" t="s">
        <v>430</v>
      </c>
      <c r="H82" s="5" t="s">
        <v>316</v>
      </c>
      <c r="I82" s="5" t="s">
        <v>316</v>
      </c>
      <c r="J82" s="25" t="s">
        <v>1488</v>
      </c>
      <c r="K82" s="5" t="s">
        <v>18</v>
      </c>
      <c r="L82" s="51">
        <v>46003</v>
      </c>
      <c r="M82" s="51"/>
      <c r="N82" s="52">
        <v>5</v>
      </c>
      <c r="O82" s="52"/>
      <c r="P82" s="52"/>
      <c r="Q82" s="24">
        <v>81</v>
      </c>
      <c r="R82" s="5"/>
      <c r="S82" s="51">
        <v>46368</v>
      </c>
      <c r="T82" s="201" t="s">
        <v>1495</v>
      </c>
      <c r="U82" s="16" t="s">
        <v>1497</v>
      </c>
    </row>
    <row r="83" spans="1:21" s="176" customFormat="1" ht="18.75" customHeight="1">
      <c r="A83" s="171">
        <f t="shared" si="2"/>
        <v>82</v>
      </c>
      <c r="B83" s="172">
        <v>45777</v>
      </c>
      <c r="C83" s="173" t="str">
        <f t="shared" si="3"/>
        <v>Amanda Mills</v>
      </c>
      <c r="D83" s="173" t="s">
        <v>720</v>
      </c>
      <c r="E83" s="173" t="s">
        <v>721</v>
      </c>
      <c r="F83" s="173"/>
      <c r="G83" s="173"/>
      <c r="H83" s="173" t="s">
        <v>722</v>
      </c>
      <c r="I83" s="173" t="s">
        <v>722</v>
      </c>
      <c r="J83" s="25" t="s">
        <v>1488</v>
      </c>
      <c r="K83" s="173" t="s">
        <v>18</v>
      </c>
      <c r="L83" s="174"/>
      <c r="M83" s="174"/>
      <c r="N83" s="175"/>
      <c r="O83" s="175"/>
      <c r="P83" s="175"/>
      <c r="Q83" s="171">
        <v>82</v>
      </c>
      <c r="R83" s="173"/>
      <c r="S83" s="174"/>
      <c r="T83" s="201" t="s">
        <v>1495</v>
      </c>
      <c r="U83" s="16" t="s">
        <v>1497</v>
      </c>
    </row>
    <row r="84" spans="1:21" ht="18.75" customHeight="1">
      <c r="A84" s="24">
        <f t="shared" si="2"/>
        <v>83</v>
      </c>
      <c r="B84" s="115">
        <v>45777</v>
      </c>
      <c r="C84" s="5" t="str">
        <f t="shared" si="3"/>
        <v>Barry Muggeridge</v>
      </c>
      <c r="D84" s="5" t="s">
        <v>723</v>
      </c>
      <c r="E84" s="5" t="s">
        <v>724</v>
      </c>
      <c r="F84" s="5" t="s">
        <v>725</v>
      </c>
      <c r="G84" s="5" t="s">
        <v>384</v>
      </c>
      <c r="H84" s="5" t="s">
        <v>380</v>
      </c>
      <c r="I84" s="5" t="s">
        <v>380</v>
      </c>
      <c r="J84" s="25" t="s">
        <v>1488</v>
      </c>
      <c r="K84" s="5" t="s">
        <v>18</v>
      </c>
      <c r="L84" s="51">
        <v>45777</v>
      </c>
      <c r="M84" s="51" t="s">
        <v>436</v>
      </c>
      <c r="N84" s="52">
        <v>5</v>
      </c>
      <c r="O84" s="52"/>
      <c r="P84" s="52"/>
      <c r="Q84" s="24">
        <v>83</v>
      </c>
      <c r="R84" s="5"/>
      <c r="S84" s="53">
        <v>46391</v>
      </c>
      <c r="T84" s="201" t="s">
        <v>1495</v>
      </c>
      <c r="U84" s="16" t="s">
        <v>1497</v>
      </c>
    </row>
    <row r="85" spans="1:21" ht="18.75" customHeight="1">
      <c r="A85" s="171">
        <f t="shared" si="2"/>
        <v>84</v>
      </c>
      <c r="B85" s="172">
        <v>45777</v>
      </c>
      <c r="C85" s="173" t="str">
        <f t="shared" si="3"/>
        <v>Heather McIntyre</v>
      </c>
      <c r="D85" s="173" t="s">
        <v>726</v>
      </c>
      <c r="E85" s="173" t="s">
        <v>727</v>
      </c>
      <c r="F85" s="173" t="s">
        <v>728</v>
      </c>
      <c r="G85" s="173" t="s">
        <v>729</v>
      </c>
      <c r="H85" s="173" t="s">
        <v>730</v>
      </c>
      <c r="I85" s="173" t="s">
        <v>730</v>
      </c>
      <c r="J85" s="25" t="s">
        <v>1488</v>
      </c>
      <c r="K85" s="173" t="s">
        <v>18</v>
      </c>
      <c r="L85" s="174"/>
      <c r="M85" s="174"/>
      <c r="N85" s="175"/>
      <c r="O85" s="175"/>
      <c r="P85" s="175"/>
      <c r="Q85" s="171">
        <v>84</v>
      </c>
      <c r="R85" s="173"/>
      <c r="S85" s="174"/>
      <c r="T85" s="201" t="s">
        <v>1495</v>
      </c>
      <c r="U85" s="16" t="s">
        <v>1497</v>
      </c>
    </row>
    <row r="86" spans="1:21" ht="18.75" customHeight="1">
      <c r="A86" s="24">
        <f t="shared" si="2"/>
        <v>85</v>
      </c>
      <c r="B86" s="115">
        <v>45777</v>
      </c>
      <c r="C86" s="5" t="str">
        <f t="shared" si="3"/>
        <v>Neeraj Wadhwa</v>
      </c>
      <c r="D86" s="5" t="s">
        <v>731</v>
      </c>
      <c r="E86" s="5" t="s">
        <v>732</v>
      </c>
      <c r="F86" s="5"/>
      <c r="G86" s="5"/>
      <c r="H86" s="5" t="s">
        <v>733</v>
      </c>
      <c r="I86" s="5" t="s">
        <v>733</v>
      </c>
      <c r="J86" s="25" t="s">
        <v>1488</v>
      </c>
      <c r="K86" s="5" t="s">
        <v>18</v>
      </c>
      <c r="L86" s="51">
        <v>46001</v>
      </c>
      <c r="M86" s="51"/>
      <c r="N86" s="52">
        <v>5</v>
      </c>
      <c r="O86" s="52"/>
      <c r="P86" s="52"/>
      <c r="Q86" s="24">
        <v>85</v>
      </c>
      <c r="R86" s="5"/>
      <c r="S86" s="51">
        <v>46366</v>
      </c>
      <c r="T86" s="201" t="s">
        <v>1495</v>
      </c>
      <c r="U86" s="16" t="s">
        <v>1497</v>
      </c>
    </row>
    <row r="87" spans="1:21" s="176" customFormat="1" ht="18.75" customHeight="1">
      <c r="A87" s="24">
        <f t="shared" si="2"/>
        <v>86</v>
      </c>
      <c r="B87" s="115">
        <v>45777</v>
      </c>
      <c r="C87" s="5" t="str">
        <f t="shared" si="3"/>
        <v>Róisín Kennedy</v>
      </c>
      <c r="D87" s="5" t="s">
        <v>734</v>
      </c>
      <c r="E87" s="5" t="s">
        <v>735</v>
      </c>
      <c r="F87" s="5" t="s">
        <v>736</v>
      </c>
      <c r="G87" s="5" t="s">
        <v>737</v>
      </c>
      <c r="H87" s="5" t="s">
        <v>386</v>
      </c>
      <c r="I87" s="5" t="s">
        <v>386</v>
      </c>
      <c r="J87" s="25" t="s">
        <v>1488</v>
      </c>
      <c r="K87" s="173" t="s">
        <v>1491</v>
      </c>
      <c r="L87" s="51">
        <v>45777</v>
      </c>
      <c r="M87" s="51" t="s">
        <v>436</v>
      </c>
      <c r="N87" s="52">
        <v>5</v>
      </c>
      <c r="O87" s="52"/>
      <c r="P87" s="52"/>
      <c r="Q87" s="24">
        <v>86</v>
      </c>
      <c r="R87" s="5" t="s">
        <v>738</v>
      </c>
      <c r="S87" s="53">
        <v>46391</v>
      </c>
      <c r="T87" s="201" t="s">
        <v>1495</v>
      </c>
      <c r="U87" s="16" t="s">
        <v>1497</v>
      </c>
    </row>
    <row r="88" spans="1:21" s="176" customFormat="1" ht="18.75" customHeight="1">
      <c r="A88" s="24">
        <f t="shared" si="2"/>
        <v>87</v>
      </c>
      <c r="B88" s="115">
        <v>45777</v>
      </c>
      <c r="C88" s="5" t="str">
        <f t="shared" si="3"/>
        <v>Susan Goddard</v>
      </c>
      <c r="D88" s="5" t="s">
        <v>607</v>
      </c>
      <c r="E88" s="5" t="s">
        <v>739</v>
      </c>
      <c r="F88" s="5"/>
      <c r="G88" s="5"/>
      <c r="H88" s="5" t="s">
        <v>373</v>
      </c>
      <c r="I88" s="5" t="s">
        <v>373</v>
      </c>
      <c r="J88" s="25" t="s">
        <v>1488</v>
      </c>
      <c r="K88" s="5" t="s">
        <v>18</v>
      </c>
      <c r="L88" s="51">
        <v>45777</v>
      </c>
      <c r="M88" s="51" t="s">
        <v>740</v>
      </c>
      <c r="N88" s="52">
        <v>5</v>
      </c>
      <c r="O88" s="52"/>
      <c r="P88" s="52"/>
      <c r="Q88" s="24">
        <v>87</v>
      </c>
      <c r="R88" s="5"/>
      <c r="S88" s="53">
        <v>46391</v>
      </c>
      <c r="T88" s="201" t="s">
        <v>1495</v>
      </c>
      <c r="U88" s="16" t="s">
        <v>1497</v>
      </c>
    </row>
    <row r="89" spans="1:21" ht="18.75" customHeight="1">
      <c r="A89" s="171">
        <f t="shared" si="2"/>
        <v>88</v>
      </c>
      <c r="B89" s="172">
        <v>45778</v>
      </c>
      <c r="C89" s="173" t="str">
        <f t="shared" si="3"/>
        <v>Anna Barker</v>
      </c>
      <c r="D89" s="173" t="s">
        <v>741</v>
      </c>
      <c r="E89" s="173" t="s">
        <v>742</v>
      </c>
      <c r="F89" s="173"/>
      <c r="G89" s="173"/>
      <c r="H89" s="173" t="s">
        <v>743</v>
      </c>
      <c r="I89" s="173" t="s">
        <v>743</v>
      </c>
      <c r="J89" s="25" t="s">
        <v>1488</v>
      </c>
      <c r="K89" s="173" t="s">
        <v>18</v>
      </c>
      <c r="L89" s="174"/>
      <c r="M89" s="174"/>
      <c r="N89" s="175"/>
      <c r="O89" s="175"/>
      <c r="P89" s="175"/>
      <c r="Q89" s="171">
        <v>88</v>
      </c>
      <c r="R89" s="173"/>
      <c r="S89" s="174"/>
      <c r="T89" s="201" t="s">
        <v>1495</v>
      </c>
      <c r="U89" s="16" t="s">
        <v>1497</v>
      </c>
    </row>
    <row r="90" spans="1:21" s="176" customFormat="1" ht="18.75" customHeight="1">
      <c r="A90" s="171">
        <f t="shared" si="2"/>
        <v>89</v>
      </c>
      <c r="B90" s="172">
        <v>45778</v>
      </c>
      <c r="C90" s="173" t="str">
        <f t="shared" si="3"/>
        <v>Jesus Garcia-Robaina</v>
      </c>
      <c r="D90" s="173" t="s">
        <v>744</v>
      </c>
      <c r="E90" s="173" t="s">
        <v>745</v>
      </c>
      <c r="F90" s="173"/>
      <c r="G90" s="173"/>
      <c r="H90" s="173" t="s">
        <v>746</v>
      </c>
      <c r="I90" s="173" t="s">
        <v>746</v>
      </c>
      <c r="J90" s="25" t="s">
        <v>1488</v>
      </c>
      <c r="K90" s="173" t="s">
        <v>18</v>
      </c>
      <c r="L90" s="174"/>
      <c r="M90" s="174"/>
      <c r="N90" s="175"/>
      <c r="O90" s="175"/>
      <c r="P90" s="175"/>
      <c r="Q90" s="171">
        <v>89</v>
      </c>
      <c r="R90" s="173"/>
      <c r="S90" s="174"/>
      <c r="T90" s="201" t="s">
        <v>1495</v>
      </c>
      <c r="U90" s="16" t="s">
        <v>1497</v>
      </c>
    </row>
    <row r="91" spans="1:21" ht="18.75" customHeight="1">
      <c r="A91" s="24">
        <f t="shared" si="2"/>
        <v>90</v>
      </c>
      <c r="B91" s="114">
        <v>45778</v>
      </c>
      <c r="C91" s="25" t="str">
        <f t="shared" si="3"/>
        <v>Deb Cousens</v>
      </c>
      <c r="D91" s="25" t="s">
        <v>747</v>
      </c>
      <c r="E91" s="25" t="s">
        <v>748</v>
      </c>
      <c r="F91" s="25" t="s">
        <v>142</v>
      </c>
      <c r="G91" s="25" t="s">
        <v>430</v>
      </c>
      <c r="H91" s="25" t="s">
        <v>7</v>
      </c>
      <c r="I91" s="25" t="s">
        <v>7</v>
      </c>
      <c r="J91" s="25" t="s">
        <v>1488</v>
      </c>
      <c r="K91" s="25" t="s">
        <v>9</v>
      </c>
      <c r="L91" s="53">
        <v>45776</v>
      </c>
      <c r="M91" s="53" t="s">
        <v>431</v>
      </c>
      <c r="N91" s="54">
        <v>0</v>
      </c>
      <c r="O91" s="54"/>
      <c r="P91" s="54"/>
      <c r="Q91" s="24">
        <v>90</v>
      </c>
      <c r="R91" s="42" t="s">
        <v>749</v>
      </c>
      <c r="S91" s="53">
        <v>46391</v>
      </c>
      <c r="T91" s="25" t="s">
        <v>9</v>
      </c>
      <c r="U91" s="16" t="s">
        <v>1497</v>
      </c>
    </row>
    <row r="92" spans="1:21" ht="18.75" customHeight="1">
      <c r="A92" s="171">
        <f t="shared" si="2"/>
        <v>91</v>
      </c>
      <c r="B92" s="172">
        <v>45778</v>
      </c>
      <c r="C92" s="173" t="str">
        <f t="shared" si="3"/>
        <v>Kirstie Lucas</v>
      </c>
      <c r="D92" s="173" t="s">
        <v>750</v>
      </c>
      <c r="E92" s="173" t="s">
        <v>751</v>
      </c>
      <c r="F92" s="173"/>
      <c r="G92" s="173"/>
      <c r="H92" s="173" t="s">
        <v>752</v>
      </c>
      <c r="I92" s="173" t="s">
        <v>752</v>
      </c>
      <c r="J92" s="25" t="s">
        <v>1488</v>
      </c>
      <c r="K92" s="173" t="s">
        <v>18</v>
      </c>
      <c r="L92" s="174"/>
      <c r="M92" s="174"/>
      <c r="N92" s="175"/>
      <c r="O92" s="175"/>
      <c r="P92" s="175"/>
      <c r="Q92" s="171">
        <v>91</v>
      </c>
      <c r="R92" s="173"/>
      <c r="S92" s="174"/>
      <c r="T92" s="201" t="s">
        <v>1495</v>
      </c>
      <c r="U92" s="16" t="s">
        <v>1497</v>
      </c>
    </row>
    <row r="93" spans="1:21" ht="18.75" customHeight="1">
      <c r="A93" s="24">
        <f t="shared" si="2"/>
        <v>92</v>
      </c>
      <c r="B93" s="115">
        <v>45778</v>
      </c>
      <c r="C93" s="5" t="str">
        <f t="shared" si="3"/>
        <v>Michael Ashdown</v>
      </c>
      <c r="D93" s="5" t="s">
        <v>753</v>
      </c>
      <c r="E93" s="5" t="s">
        <v>754</v>
      </c>
      <c r="F93" s="5"/>
      <c r="G93" s="5"/>
      <c r="H93" s="5" t="s">
        <v>755</v>
      </c>
      <c r="I93" s="5" t="s">
        <v>755</v>
      </c>
      <c r="J93" s="25" t="s">
        <v>1488</v>
      </c>
      <c r="K93" s="5" t="s">
        <v>18</v>
      </c>
      <c r="L93" s="51">
        <v>45780</v>
      </c>
      <c r="M93" s="51"/>
      <c r="N93" s="52">
        <v>5</v>
      </c>
      <c r="O93" s="52"/>
      <c r="P93" s="52"/>
      <c r="Q93" s="24">
        <v>92</v>
      </c>
      <c r="R93" s="5"/>
      <c r="S93" s="51">
        <v>46145</v>
      </c>
      <c r="T93" s="201" t="s">
        <v>1495</v>
      </c>
      <c r="U93" s="16" t="s">
        <v>1497</v>
      </c>
    </row>
    <row r="94" spans="1:21" s="176" customFormat="1" ht="18.75" customHeight="1">
      <c r="A94" s="24">
        <f t="shared" si="2"/>
        <v>93</v>
      </c>
      <c r="B94" s="115">
        <v>45778</v>
      </c>
      <c r="C94" s="5" t="str">
        <f t="shared" si="3"/>
        <v>Nabila Ritchie</v>
      </c>
      <c r="D94" s="5" t="s">
        <v>756</v>
      </c>
      <c r="E94" s="5" t="s">
        <v>757</v>
      </c>
      <c r="F94" s="5"/>
      <c r="G94" s="5"/>
      <c r="H94" s="5" t="s">
        <v>229</v>
      </c>
      <c r="I94" s="5" t="s">
        <v>229</v>
      </c>
      <c r="J94" s="25" t="s">
        <v>1488</v>
      </c>
      <c r="K94" s="173" t="s">
        <v>1491</v>
      </c>
      <c r="L94" s="51">
        <v>45985</v>
      </c>
      <c r="M94" s="51"/>
      <c r="N94" s="52">
        <v>5</v>
      </c>
      <c r="O94" s="52"/>
      <c r="P94" s="52"/>
      <c r="Q94" s="24">
        <v>93</v>
      </c>
      <c r="R94" s="5"/>
      <c r="S94" s="51">
        <v>46350</v>
      </c>
      <c r="T94" s="201" t="s">
        <v>1495</v>
      </c>
      <c r="U94" s="16" t="s">
        <v>1497</v>
      </c>
    </row>
    <row r="95" spans="1:21" s="176" customFormat="1" ht="18.75" customHeight="1">
      <c r="A95" s="24">
        <f t="shared" si="2"/>
        <v>94</v>
      </c>
      <c r="B95" s="115">
        <v>45778</v>
      </c>
      <c r="C95" s="5" t="str">
        <f t="shared" si="3"/>
        <v>Pamela Hancock</v>
      </c>
      <c r="D95" s="5" t="s">
        <v>758</v>
      </c>
      <c r="E95" s="5" t="s">
        <v>759</v>
      </c>
      <c r="F95" s="5"/>
      <c r="G95" s="5"/>
      <c r="H95" s="5" t="s">
        <v>760</v>
      </c>
      <c r="I95" s="5" t="s">
        <v>760</v>
      </c>
      <c r="J95" s="25" t="s">
        <v>1488</v>
      </c>
      <c r="K95" s="173" t="s">
        <v>1491</v>
      </c>
      <c r="L95" s="51">
        <v>45859</v>
      </c>
      <c r="M95" s="51"/>
      <c r="N95" s="52">
        <v>5</v>
      </c>
      <c r="O95" s="52"/>
      <c r="P95" s="52"/>
      <c r="Q95" s="24">
        <v>94</v>
      </c>
      <c r="R95" s="5"/>
      <c r="S95" s="51">
        <v>46224</v>
      </c>
      <c r="T95" s="201" t="s">
        <v>1495</v>
      </c>
      <c r="U95" s="16" t="s">
        <v>1497</v>
      </c>
    </row>
    <row r="96" spans="1:21" s="176" customFormat="1" ht="18.75" customHeight="1">
      <c r="A96" s="171">
        <f t="shared" si="2"/>
        <v>95</v>
      </c>
      <c r="B96" s="172">
        <v>45778</v>
      </c>
      <c r="C96" s="173" t="str">
        <f t="shared" si="3"/>
        <v>Simon Robins</v>
      </c>
      <c r="D96" s="173" t="s">
        <v>761</v>
      </c>
      <c r="E96" s="173" t="s">
        <v>762</v>
      </c>
      <c r="F96" s="173" t="s">
        <v>763</v>
      </c>
      <c r="G96" s="173" t="s">
        <v>764</v>
      </c>
      <c r="H96" s="173" t="s">
        <v>765</v>
      </c>
      <c r="I96" s="173" t="s">
        <v>765</v>
      </c>
      <c r="J96" s="25" t="s">
        <v>1488</v>
      </c>
      <c r="K96" s="173" t="s">
        <v>18</v>
      </c>
      <c r="L96" s="174"/>
      <c r="M96" s="174"/>
      <c r="N96" s="175"/>
      <c r="O96" s="175"/>
      <c r="P96" s="175"/>
      <c r="Q96" s="171">
        <v>95</v>
      </c>
      <c r="R96" s="173"/>
      <c r="S96" s="174"/>
      <c r="T96" s="201" t="s">
        <v>1495</v>
      </c>
      <c r="U96" s="16" t="s">
        <v>1497</v>
      </c>
    </row>
    <row r="97" spans="1:21" ht="18.75" customHeight="1">
      <c r="A97" s="171">
        <f t="shared" si="2"/>
        <v>96</v>
      </c>
      <c r="B97" s="172">
        <v>45778</v>
      </c>
      <c r="C97" s="173" t="str">
        <f t="shared" si="3"/>
        <v>Tessa Whitehorn</v>
      </c>
      <c r="D97" s="173" t="s">
        <v>425</v>
      </c>
      <c r="E97" s="173" t="s">
        <v>426</v>
      </c>
      <c r="F97" s="173"/>
      <c r="G97" s="173"/>
      <c r="H97" s="173" t="s">
        <v>427</v>
      </c>
      <c r="I97" s="173" t="s">
        <v>427</v>
      </c>
      <c r="J97" s="25" t="s">
        <v>1488</v>
      </c>
      <c r="K97" s="173" t="s">
        <v>1491</v>
      </c>
      <c r="L97" s="174"/>
      <c r="M97" s="174"/>
      <c r="N97" s="175"/>
      <c r="O97" s="175"/>
      <c r="P97" s="175"/>
      <c r="Q97" s="171">
        <v>96</v>
      </c>
      <c r="R97" s="173"/>
      <c r="S97" s="174"/>
      <c r="T97" s="201" t="s">
        <v>1495</v>
      </c>
      <c r="U97" s="16" t="s">
        <v>1497</v>
      </c>
    </row>
    <row r="98" spans="1:21" ht="18.75" customHeight="1">
      <c r="A98" s="24">
        <f t="shared" si="2"/>
        <v>97</v>
      </c>
      <c r="B98" s="115">
        <v>45779</v>
      </c>
      <c r="C98" s="5" t="str">
        <f t="shared" si="3"/>
        <v>Natalie Rendell</v>
      </c>
      <c r="D98" s="5" t="s">
        <v>766</v>
      </c>
      <c r="E98" s="5" t="s">
        <v>767</v>
      </c>
      <c r="F98" s="5"/>
      <c r="G98" s="5"/>
      <c r="H98" s="5" t="s">
        <v>768</v>
      </c>
      <c r="I98" s="5" t="s">
        <v>768</v>
      </c>
      <c r="J98" s="25" t="s">
        <v>1488</v>
      </c>
      <c r="K98" s="5" t="s">
        <v>19</v>
      </c>
      <c r="L98" s="51"/>
      <c r="M98" s="51" t="s">
        <v>770</v>
      </c>
      <c r="N98" s="52">
        <v>5</v>
      </c>
      <c r="O98" s="52"/>
      <c r="P98" s="52" t="s">
        <v>17</v>
      </c>
      <c r="Q98" s="24">
        <v>97</v>
      </c>
      <c r="R98" s="5"/>
      <c r="S98" s="51">
        <v>46391</v>
      </c>
      <c r="T98" s="201" t="s">
        <v>1495</v>
      </c>
      <c r="U98" s="16" t="s">
        <v>1497</v>
      </c>
    </row>
    <row r="99" spans="1:21" s="176" customFormat="1" ht="18.75" customHeight="1">
      <c r="A99" s="24">
        <f t="shared" si="2"/>
        <v>98</v>
      </c>
      <c r="B99" s="115">
        <v>45779</v>
      </c>
      <c r="C99" s="5" t="str">
        <f t="shared" si="3"/>
        <v>Natalie Roberts</v>
      </c>
      <c r="D99" s="5" t="s">
        <v>766</v>
      </c>
      <c r="E99" s="5" t="s">
        <v>771</v>
      </c>
      <c r="F99" s="5"/>
      <c r="G99" s="20"/>
      <c r="H99" s="5" t="s">
        <v>772</v>
      </c>
      <c r="I99" s="5" t="s">
        <v>772</v>
      </c>
      <c r="J99" s="25" t="s">
        <v>1488</v>
      </c>
      <c r="K99" s="5" t="s">
        <v>17</v>
      </c>
      <c r="L99" s="51">
        <v>45779</v>
      </c>
      <c r="M99" s="51"/>
      <c r="N99" s="52">
        <v>5</v>
      </c>
      <c r="O99" s="52"/>
      <c r="P99" s="52"/>
      <c r="Q99" s="24">
        <v>98</v>
      </c>
      <c r="R99" s="5"/>
      <c r="S99" s="51">
        <v>46144</v>
      </c>
      <c r="T99" s="201" t="s">
        <v>1495</v>
      </c>
      <c r="U99" s="16" t="s">
        <v>1497</v>
      </c>
    </row>
    <row r="100" spans="1:21" s="176" customFormat="1" ht="18.75" customHeight="1">
      <c r="A100" s="171">
        <f t="shared" si="2"/>
        <v>99</v>
      </c>
      <c r="B100" s="172">
        <v>45779</v>
      </c>
      <c r="C100" s="173" t="str">
        <f t="shared" si="3"/>
        <v>Vrishikaben Patel</v>
      </c>
      <c r="D100" s="173" t="s">
        <v>773</v>
      </c>
      <c r="E100" s="173" t="s">
        <v>658</v>
      </c>
      <c r="F100" s="173"/>
      <c r="G100" s="173"/>
      <c r="H100" s="173" t="s">
        <v>774</v>
      </c>
      <c r="I100" s="173" t="s">
        <v>774</v>
      </c>
      <c r="J100" s="25" t="s">
        <v>1488</v>
      </c>
      <c r="K100" s="5" t="s">
        <v>1490</v>
      </c>
      <c r="L100" s="174"/>
      <c r="M100" s="174"/>
      <c r="N100" s="175"/>
      <c r="O100" s="175"/>
      <c r="P100" s="175"/>
      <c r="Q100" s="171">
        <v>99</v>
      </c>
      <c r="R100" s="173"/>
      <c r="S100" s="174"/>
      <c r="T100" s="201" t="s">
        <v>1495</v>
      </c>
      <c r="U100" s="16" t="s">
        <v>1497</v>
      </c>
    </row>
    <row r="101" spans="1:21" ht="18.75" customHeight="1">
      <c r="A101" s="24">
        <f t="shared" si="2"/>
        <v>100</v>
      </c>
      <c r="B101" s="115">
        <v>45780</v>
      </c>
      <c r="C101" s="5" t="str">
        <f t="shared" si="3"/>
        <v>Andrew Williams</v>
      </c>
      <c r="D101" s="5" t="s">
        <v>444</v>
      </c>
      <c r="E101" s="5" t="s">
        <v>629</v>
      </c>
      <c r="F101" s="5" t="s">
        <v>637</v>
      </c>
      <c r="G101" s="5" t="s">
        <v>775</v>
      </c>
      <c r="H101" s="6" t="s">
        <v>262</v>
      </c>
      <c r="I101" s="6" t="s">
        <v>262</v>
      </c>
      <c r="J101" s="25" t="s">
        <v>1488</v>
      </c>
      <c r="K101" s="5" t="s">
        <v>19</v>
      </c>
      <c r="L101" s="51">
        <v>45700</v>
      </c>
      <c r="M101" s="51"/>
      <c r="N101" s="52">
        <v>5</v>
      </c>
      <c r="O101" s="52"/>
      <c r="P101" s="52" t="s">
        <v>17</v>
      </c>
      <c r="Q101" s="24">
        <v>100</v>
      </c>
      <c r="R101" s="5" t="s">
        <v>776</v>
      </c>
      <c r="S101" s="51">
        <v>46034</v>
      </c>
      <c r="T101" s="201" t="s">
        <v>1495</v>
      </c>
      <c r="U101" s="16" t="s">
        <v>1497</v>
      </c>
    </row>
    <row r="102" spans="1:21" s="176" customFormat="1" ht="18.75" customHeight="1">
      <c r="A102" s="171">
        <f t="shared" si="2"/>
        <v>101</v>
      </c>
      <c r="B102" s="172">
        <v>45780</v>
      </c>
      <c r="C102" s="173" t="str">
        <f t="shared" si="3"/>
        <v>Debra McNeaney</v>
      </c>
      <c r="D102" s="173" t="s">
        <v>777</v>
      </c>
      <c r="E102" s="173" t="s">
        <v>778</v>
      </c>
      <c r="F102" s="173" t="s">
        <v>637</v>
      </c>
      <c r="G102" s="173" t="s">
        <v>775</v>
      </c>
      <c r="H102" s="173" t="s">
        <v>779</v>
      </c>
      <c r="I102" s="173" t="s">
        <v>779</v>
      </c>
      <c r="J102" s="25" t="s">
        <v>1488</v>
      </c>
      <c r="K102" s="5" t="s">
        <v>19</v>
      </c>
      <c r="L102" s="174"/>
      <c r="M102" s="174"/>
      <c r="N102" s="175"/>
      <c r="O102" s="175"/>
      <c r="P102" s="175"/>
      <c r="Q102" s="171">
        <v>101</v>
      </c>
      <c r="R102" s="173"/>
      <c r="S102" s="174"/>
      <c r="T102" s="201" t="s">
        <v>1495</v>
      </c>
      <c r="U102" s="16" t="s">
        <v>1497</v>
      </c>
    </row>
    <row r="103" spans="1:21" s="176" customFormat="1" ht="18.75" customHeight="1">
      <c r="A103" s="171">
        <f t="shared" si="2"/>
        <v>102</v>
      </c>
      <c r="B103" s="172">
        <v>45780</v>
      </c>
      <c r="C103" s="173" t="str">
        <f t="shared" si="3"/>
        <v>Dominic Winterburn</v>
      </c>
      <c r="D103" s="173" t="s">
        <v>780</v>
      </c>
      <c r="E103" s="173" t="s">
        <v>781</v>
      </c>
      <c r="F103" s="173" t="s">
        <v>782</v>
      </c>
      <c r="G103" s="173" t="s">
        <v>783</v>
      </c>
      <c r="H103" s="173" t="s">
        <v>784</v>
      </c>
      <c r="I103" s="173" t="s">
        <v>784</v>
      </c>
      <c r="J103" s="25" t="s">
        <v>1488</v>
      </c>
      <c r="K103" s="5" t="s">
        <v>19</v>
      </c>
      <c r="L103" s="174"/>
      <c r="M103" s="174"/>
      <c r="N103" s="175"/>
      <c r="O103" s="175"/>
      <c r="P103" s="175"/>
      <c r="Q103" s="171">
        <v>102</v>
      </c>
      <c r="R103" s="173"/>
      <c r="S103" s="174"/>
      <c r="T103" s="201" t="s">
        <v>1495</v>
      </c>
      <c r="U103" s="16" t="s">
        <v>1497</v>
      </c>
    </row>
    <row r="104" spans="1:21" s="180" customFormat="1" ht="18.75" customHeight="1">
      <c r="A104" s="171">
        <f t="shared" si="2"/>
        <v>103</v>
      </c>
      <c r="B104" s="172">
        <v>45780</v>
      </c>
      <c r="C104" s="173" t="str">
        <f t="shared" si="3"/>
        <v>Jane-Louise Taberer</v>
      </c>
      <c r="D104" s="173" t="s">
        <v>785</v>
      </c>
      <c r="E104" s="173" t="s">
        <v>786</v>
      </c>
      <c r="F104" s="173" t="s">
        <v>637</v>
      </c>
      <c r="G104" s="173" t="s">
        <v>638</v>
      </c>
      <c r="H104" s="173" t="s">
        <v>787</v>
      </c>
      <c r="I104" s="173" t="s">
        <v>787</v>
      </c>
      <c r="J104" s="25" t="s">
        <v>1488</v>
      </c>
      <c r="K104" s="5" t="s">
        <v>19</v>
      </c>
      <c r="L104" s="174"/>
      <c r="M104" s="174"/>
      <c r="N104" s="175"/>
      <c r="O104" s="175"/>
      <c r="P104" s="175"/>
      <c r="Q104" s="171">
        <v>103</v>
      </c>
      <c r="R104" s="173"/>
      <c r="S104" s="174"/>
      <c r="T104" s="201" t="s">
        <v>1495</v>
      </c>
      <c r="U104" s="16" t="s">
        <v>1497</v>
      </c>
    </row>
    <row r="105" spans="1:21" ht="18.75" customHeight="1">
      <c r="A105" s="171">
        <f t="shared" si="2"/>
        <v>104</v>
      </c>
      <c r="B105" s="172">
        <v>45780</v>
      </c>
      <c r="C105" s="173" t="str">
        <f t="shared" si="3"/>
        <v>Janice Stuart</v>
      </c>
      <c r="D105" s="173" t="s">
        <v>788</v>
      </c>
      <c r="E105" s="173" t="s">
        <v>603</v>
      </c>
      <c r="F105" s="173" t="s">
        <v>789</v>
      </c>
      <c r="G105" s="173" t="s">
        <v>790</v>
      </c>
      <c r="H105" s="178" t="s">
        <v>791</v>
      </c>
      <c r="I105" s="178" t="s">
        <v>791</v>
      </c>
      <c r="J105" s="25" t="s">
        <v>1488</v>
      </c>
      <c r="K105" s="5" t="s">
        <v>19</v>
      </c>
      <c r="L105" s="174"/>
      <c r="M105" s="174"/>
      <c r="N105" s="175"/>
      <c r="O105" s="175"/>
      <c r="P105" s="175"/>
      <c r="Q105" s="171">
        <v>104</v>
      </c>
      <c r="R105" s="173"/>
      <c r="S105" s="174"/>
      <c r="T105" s="201" t="s">
        <v>1495</v>
      </c>
      <c r="U105" s="16" t="s">
        <v>1497</v>
      </c>
    </row>
    <row r="106" spans="1:21" s="201" customFormat="1" ht="18.75" customHeight="1">
      <c r="A106" s="171">
        <f t="shared" si="2"/>
        <v>105</v>
      </c>
      <c r="B106" s="172">
        <v>45780</v>
      </c>
      <c r="C106" s="173" t="str">
        <f t="shared" si="3"/>
        <v>Jutta Walker</v>
      </c>
      <c r="D106" s="173" t="s">
        <v>792</v>
      </c>
      <c r="E106" s="173" t="s">
        <v>793</v>
      </c>
      <c r="F106" s="173" t="s">
        <v>637</v>
      </c>
      <c r="G106" s="255" t="s">
        <v>638</v>
      </c>
      <c r="H106" s="243" t="s">
        <v>794</v>
      </c>
      <c r="I106" s="243" t="s">
        <v>794</v>
      </c>
      <c r="J106" s="25" t="s">
        <v>1488</v>
      </c>
      <c r="K106" s="5" t="s">
        <v>19</v>
      </c>
      <c r="L106" s="174"/>
      <c r="M106" s="174"/>
      <c r="N106" s="175"/>
      <c r="O106" s="175"/>
      <c r="P106" s="175"/>
      <c r="Q106" s="171">
        <v>105</v>
      </c>
      <c r="R106" s="173"/>
      <c r="S106" s="174"/>
      <c r="T106" s="201" t="s">
        <v>1495</v>
      </c>
      <c r="U106" s="16" t="s">
        <v>1497</v>
      </c>
    </row>
    <row r="107" spans="1:21" s="176" customFormat="1" ht="18.75" customHeight="1">
      <c r="A107" s="24">
        <f t="shared" si="2"/>
        <v>106</v>
      </c>
      <c r="B107" s="115">
        <v>45780</v>
      </c>
      <c r="C107" s="5" t="str">
        <f t="shared" si="3"/>
        <v>Katie Cousens</v>
      </c>
      <c r="D107" s="5" t="s">
        <v>795</v>
      </c>
      <c r="E107" s="5" t="s">
        <v>748</v>
      </c>
      <c r="F107" s="5" t="s">
        <v>796</v>
      </c>
      <c r="G107" s="21" t="s">
        <v>797</v>
      </c>
      <c r="H107" s="159" t="s">
        <v>798</v>
      </c>
      <c r="I107" s="159" t="s">
        <v>798</v>
      </c>
      <c r="J107" s="25" t="s">
        <v>1488</v>
      </c>
      <c r="K107" s="5" t="s">
        <v>19</v>
      </c>
      <c r="L107" s="51">
        <v>46000</v>
      </c>
      <c r="M107" s="51"/>
      <c r="N107" s="52">
        <v>0</v>
      </c>
      <c r="O107" s="52"/>
      <c r="P107" s="52"/>
      <c r="Q107" s="24">
        <v>106</v>
      </c>
      <c r="R107" s="5" t="s">
        <v>799</v>
      </c>
      <c r="S107" s="51">
        <v>46365</v>
      </c>
      <c r="T107" s="201" t="s">
        <v>1495</v>
      </c>
      <c r="U107" s="16" t="s">
        <v>1497</v>
      </c>
    </row>
    <row r="108" spans="1:21" s="176" customFormat="1" ht="18.75" customHeight="1">
      <c r="A108" s="197">
        <f t="shared" si="2"/>
        <v>107</v>
      </c>
      <c r="B108" s="198">
        <v>45780</v>
      </c>
      <c r="C108" s="19" t="str">
        <f t="shared" si="3"/>
        <v>Linda Neville</v>
      </c>
      <c r="D108" s="19" t="s">
        <v>550</v>
      </c>
      <c r="E108" s="19" t="s">
        <v>800</v>
      </c>
      <c r="F108" s="19" t="s">
        <v>796</v>
      </c>
      <c r="G108" s="19" t="s">
        <v>801</v>
      </c>
      <c r="H108" s="230" t="s">
        <v>802</v>
      </c>
      <c r="I108" s="230" t="s">
        <v>802</v>
      </c>
      <c r="J108" s="25" t="s">
        <v>1488</v>
      </c>
      <c r="K108" s="5" t="s">
        <v>19</v>
      </c>
      <c r="L108" s="199">
        <v>46032</v>
      </c>
      <c r="M108" s="199"/>
      <c r="N108" s="200"/>
      <c r="O108" s="200"/>
      <c r="P108" s="200"/>
      <c r="Q108" s="197">
        <v>107</v>
      </c>
      <c r="R108" s="19"/>
      <c r="S108" s="199">
        <v>46397</v>
      </c>
      <c r="T108" s="201" t="s">
        <v>1495</v>
      </c>
      <c r="U108" s="16" t="s">
        <v>1497</v>
      </c>
    </row>
    <row r="109" spans="1:21" s="201" customFormat="1" ht="18.75" customHeight="1">
      <c r="A109" s="171">
        <f t="shared" si="2"/>
        <v>108</v>
      </c>
      <c r="B109" s="172">
        <v>45780</v>
      </c>
      <c r="C109" s="173" t="str">
        <f t="shared" si="3"/>
        <v>Lynette Walker</v>
      </c>
      <c r="D109" s="173" t="s">
        <v>803</v>
      </c>
      <c r="E109" s="173" t="s">
        <v>793</v>
      </c>
      <c r="F109" s="173" t="s">
        <v>804</v>
      </c>
      <c r="G109" s="173" t="s">
        <v>805</v>
      </c>
      <c r="H109" s="173" t="s">
        <v>806</v>
      </c>
      <c r="I109" s="173" t="s">
        <v>806</v>
      </c>
      <c r="J109" s="25" t="s">
        <v>1488</v>
      </c>
      <c r="K109" s="5" t="s">
        <v>19</v>
      </c>
      <c r="L109" s="174"/>
      <c r="M109" s="174"/>
      <c r="N109" s="175"/>
      <c r="O109" s="175"/>
      <c r="P109" s="175"/>
      <c r="Q109" s="171">
        <v>108</v>
      </c>
      <c r="R109" s="173"/>
      <c r="S109" s="174"/>
      <c r="T109" s="201" t="s">
        <v>1495</v>
      </c>
      <c r="U109" s="16" t="s">
        <v>1497</v>
      </c>
    </row>
    <row r="110" spans="1:21" ht="18.75" customHeight="1">
      <c r="A110" s="171">
        <f t="shared" si="2"/>
        <v>109</v>
      </c>
      <c r="B110" s="172">
        <v>45780</v>
      </c>
      <c r="C110" s="173" t="str">
        <f t="shared" si="3"/>
        <v>Maria Ferreira</v>
      </c>
      <c r="D110" s="173" t="s">
        <v>807</v>
      </c>
      <c r="E110" s="173" t="s">
        <v>808</v>
      </c>
      <c r="F110" s="173" t="s">
        <v>637</v>
      </c>
      <c r="G110" s="173" t="s">
        <v>775</v>
      </c>
      <c r="H110" s="173" t="s">
        <v>809</v>
      </c>
      <c r="I110" s="173" t="s">
        <v>809</v>
      </c>
      <c r="J110" s="25" t="s">
        <v>1488</v>
      </c>
      <c r="K110" s="5" t="s">
        <v>19</v>
      </c>
      <c r="L110" s="174"/>
      <c r="M110" s="174"/>
      <c r="N110" s="175"/>
      <c r="O110" s="175"/>
      <c r="P110" s="175"/>
      <c r="Q110" s="171">
        <v>109</v>
      </c>
      <c r="R110" s="173"/>
      <c r="S110" s="174"/>
      <c r="T110" s="201" t="s">
        <v>1495</v>
      </c>
      <c r="U110" s="16" t="s">
        <v>1497</v>
      </c>
    </row>
    <row r="111" spans="1:21" s="176" customFormat="1" ht="18.75" customHeight="1">
      <c r="A111" s="197">
        <f t="shared" si="2"/>
        <v>110</v>
      </c>
      <c r="B111" s="198">
        <v>45780</v>
      </c>
      <c r="C111" s="19" t="str">
        <f t="shared" si="3"/>
        <v>Mary Freeth</v>
      </c>
      <c r="D111" s="19" t="s">
        <v>810</v>
      </c>
      <c r="E111" s="19" t="s">
        <v>811</v>
      </c>
      <c r="F111" s="19" t="s">
        <v>812</v>
      </c>
      <c r="G111" s="19" t="s">
        <v>813</v>
      </c>
      <c r="H111" s="230" t="s">
        <v>814</v>
      </c>
      <c r="I111" s="230" t="s">
        <v>814</v>
      </c>
      <c r="J111" s="25" t="s">
        <v>1488</v>
      </c>
      <c r="K111" s="5" t="s">
        <v>19</v>
      </c>
      <c r="L111" s="232">
        <v>46032</v>
      </c>
      <c r="M111" s="232"/>
      <c r="N111" s="200"/>
      <c r="O111" s="200"/>
      <c r="P111" s="200"/>
      <c r="Q111" s="197">
        <v>110</v>
      </c>
      <c r="R111" s="19"/>
      <c r="S111" s="232">
        <v>46397</v>
      </c>
      <c r="T111" s="201" t="s">
        <v>1495</v>
      </c>
      <c r="U111" s="16" t="s">
        <v>1497</v>
      </c>
    </row>
    <row r="112" spans="1:21" s="201" customFormat="1" ht="18.75" customHeight="1">
      <c r="A112" s="24">
        <f t="shared" si="2"/>
        <v>111</v>
      </c>
      <c r="B112" s="115">
        <v>45780</v>
      </c>
      <c r="C112" s="5" t="str">
        <f t="shared" si="3"/>
        <v>Nicola Streeter</v>
      </c>
      <c r="D112" s="5" t="s">
        <v>815</v>
      </c>
      <c r="E112" s="5" t="s">
        <v>816</v>
      </c>
      <c r="F112" s="5" t="s">
        <v>817</v>
      </c>
      <c r="G112" s="5" t="s">
        <v>213</v>
      </c>
      <c r="H112" s="5" t="s">
        <v>209</v>
      </c>
      <c r="I112" s="5" t="s">
        <v>209</v>
      </c>
      <c r="J112" s="25" t="s">
        <v>1488</v>
      </c>
      <c r="K112" s="5" t="s">
        <v>19</v>
      </c>
      <c r="L112" s="51">
        <v>45985</v>
      </c>
      <c r="M112" s="51"/>
      <c r="N112" s="52">
        <v>5</v>
      </c>
      <c r="O112" s="52"/>
      <c r="P112" s="52"/>
      <c r="Q112" s="24">
        <v>111</v>
      </c>
      <c r="R112" s="5"/>
      <c r="S112" s="51">
        <v>46350</v>
      </c>
      <c r="T112" s="201" t="s">
        <v>1495</v>
      </c>
      <c r="U112" s="16" t="s">
        <v>1497</v>
      </c>
    </row>
    <row r="113" spans="1:21" s="176" customFormat="1" ht="18.75" customHeight="1">
      <c r="A113" s="171">
        <f t="shared" si="2"/>
        <v>112</v>
      </c>
      <c r="B113" s="172">
        <v>45780</v>
      </c>
      <c r="C113" s="173" t="str">
        <f t="shared" si="3"/>
        <v>Niru Regmi</v>
      </c>
      <c r="D113" s="173" t="s">
        <v>818</v>
      </c>
      <c r="E113" s="173" t="s">
        <v>819</v>
      </c>
      <c r="F113" s="173" t="s">
        <v>637</v>
      </c>
      <c r="G113" s="173" t="s">
        <v>820</v>
      </c>
      <c r="H113" s="173" t="s">
        <v>821</v>
      </c>
      <c r="I113" s="173" t="s">
        <v>821</v>
      </c>
      <c r="J113" s="25" t="s">
        <v>1488</v>
      </c>
      <c r="K113" s="5" t="s">
        <v>19</v>
      </c>
      <c r="L113" s="174"/>
      <c r="M113" s="174"/>
      <c r="N113" s="175"/>
      <c r="O113" s="175"/>
      <c r="P113" s="175"/>
      <c r="Q113" s="171">
        <v>112</v>
      </c>
      <c r="R113" s="173"/>
      <c r="S113" s="174"/>
      <c r="T113" s="201" t="s">
        <v>1495</v>
      </c>
      <c r="U113" s="16" t="s">
        <v>1497</v>
      </c>
    </row>
    <row r="114" spans="1:21" s="176" customFormat="1" ht="18.75" customHeight="1">
      <c r="A114" s="197">
        <f t="shared" si="2"/>
        <v>113</v>
      </c>
      <c r="B114" s="198">
        <v>45780</v>
      </c>
      <c r="C114" s="19" t="str">
        <f t="shared" si="3"/>
        <v>Paul  Wise</v>
      </c>
      <c r="D114" s="19" t="s">
        <v>822</v>
      </c>
      <c r="E114" s="19" t="s">
        <v>823</v>
      </c>
      <c r="F114" s="19" t="s">
        <v>824</v>
      </c>
      <c r="G114" s="19" t="s">
        <v>163</v>
      </c>
      <c r="H114" s="19" t="s">
        <v>158</v>
      </c>
      <c r="I114" s="19" t="s">
        <v>158</v>
      </c>
      <c r="J114" s="25" t="s">
        <v>1488</v>
      </c>
      <c r="K114" s="5" t="s">
        <v>19</v>
      </c>
      <c r="L114" s="199">
        <v>45974</v>
      </c>
      <c r="M114" s="199"/>
      <c r="N114" s="200"/>
      <c r="O114" s="200"/>
      <c r="P114" s="200"/>
      <c r="Q114" s="197">
        <v>113</v>
      </c>
      <c r="R114" s="19" t="s">
        <v>825</v>
      </c>
      <c r="S114" s="199">
        <v>46339</v>
      </c>
      <c r="T114" s="201" t="s">
        <v>1495</v>
      </c>
      <c r="U114" s="16" t="s">
        <v>1497</v>
      </c>
    </row>
    <row r="115" spans="1:21" ht="18.75" customHeight="1">
      <c r="A115" s="171">
        <f t="shared" si="2"/>
        <v>114</v>
      </c>
      <c r="B115" s="172">
        <v>45780</v>
      </c>
      <c r="C115" s="173" t="str">
        <f t="shared" si="3"/>
        <v>Ruby Davies</v>
      </c>
      <c r="D115" s="173" t="s">
        <v>826</v>
      </c>
      <c r="E115" s="173" t="s">
        <v>578</v>
      </c>
      <c r="F115" s="173" t="s">
        <v>637</v>
      </c>
      <c r="G115" s="173" t="s">
        <v>638</v>
      </c>
      <c r="H115" s="173" t="s">
        <v>827</v>
      </c>
      <c r="I115" s="173" t="s">
        <v>827</v>
      </c>
      <c r="J115" s="25" t="s">
        <v>1488</v>
      </c>
      <c r="K115" s="5" t="s">
        <v>19</v>
      </c>
      <c r="L115" s="174"/>
      <c r="M115" s="174"/>
      <c r="N115" s="175"/>
      <c r="O115" s="175"/>
      <c r="P115" s="175"/>
      <c r="Q115" s="171">
        <v>114</v>
      </c>
      <c r="R115" s="173"/>
      <c r="S115" s="174"/>
      <c r="T115" s="201" t="s">
        <v>1495</v>
      </c>
      <c r="U115" s="16" t="s">
        <v>1497</v>
      </c>
    </row>
    <row r="116" spans="1:21" s="176" customFormat="1" ht="18.75" customHeight="1">
      <c r="A116" s="171">
        <f t="shared" si="2"/>
        <v>115</v>
      </c>
      <c r="B116" s="172">
        <v>45780</v>
      </c>
      <c r="C116" s="173" t="str">
        <f t="shared" si="3"/>
        <v>Santosh Yellayagari</v>
      </c>
      <c r="D116" s="173" t="s">
        <v>828</v>
      </c>
      <c r="E116" s="173" t="s">
        <v>829</v>
      </c>
      <c r="F116" s="173" t="s">
        <v>637</v>
      </c>
      <c r="G116" s="173" t="s">
        <v>775</v>
      </c>
      <c r="H116" s="173" t="s">
        <v>830</v>
      </c>
      <c r="I116" s="173" t="s">
        <v>830</v>
      </c>
      <c r="J116" s="25" t="s">
        <v>1488</v>
      </c>
      <c r="K116" s="5" t="s">
        <v>19</v>
      </c>
      <c r="L116" s="174"/>
      <c r="M116" s="174"/>
      <c r="N116" s="175"/>
      <c r="O116" s="175"/>
      <c r="P116" s="175"/>
      <c r="Q116" s="171">
        <v>115</v>
      </c>
      <c r="R116" s="173"/>
      <c r="S116" s="174"/>
      <c r="T116" s="201" t="s">
        <v>1495</v>
      </c>
      <c r="U116" s="16" t="s">
        <v>1497</v>
      </c>
    </row>
    <row r="117" spans="1:21" s="176" customFormat="1" ht="18.75" customHeight="1">
      <c r="A117" s="24">
        <f t="shared" si="2"/>
        <v>116</v>
      </c>
      <c r="B117" s="115">
        <v>45780</v>
      </c>
      <c r="C117" s="5" t="str">
        <f t="shared" si="3"/>
        <v>Shaun Cousens</v>
      </c>
      <c r="D117" s="5" t="s">
        <v>831</v>
      </c>
      <c r="E117" s="5" t="s">
        <v>748</v>
      </c>
      <c r="F117" s="5" t="s">
        <v>796</v>
      </c>
      <c r="G117" s="21" t="s">
        <v>797</v>
      </c>
      <c r="H117" s="5" t="s">
        <v>832</v>
      </c>
      <c r="I117" s="5" t="s">
        <v>832</v>
      </c>
      <c r="J117" s="25" t="s">
        <v>1488</v>
      </c>
      <c r="K117" s="5" t="s">
        <v>19</v>
      </c>
      <c r="L117" s="51">
        <v>46000</v>
      </c>
      <c r="M117" s="51"/>
      <c r="N117" s="52">
        <v>5</v>
      </c>
      <c r="O117" s="52"/>
      <c r="P117" s="52"/>
      <c r="Q117" s="24">
        <v>116</v>
      </c>
      <c r="R117" s="5"/>
      <c r="S117" s="51">
        <v>46365</v>
      </c>
      <c r="T117" s="201" t="s">
        <v>1495</v>
      </c>
      <c r="U117" s="16" t="s">
        <v>1497</v>
      </c>
    </row>
    <row r="118" spans="1:21" ht="18.75" customHeight="1">
      <c r="A118" s="171">
        <f t="shared" si="2"/>
        <v>117</v>
      </c>
      <c r="B118" s="172">
        <v>45781</v>
      </c>
      <c r="C118" s="173" t="str">
        <f t="shared" si="3"/>
        <v>Ashish Kahol</v>
      </c>
      <c r="D118" s="173" t="s">
        <v>833</v>
      </c>
      <c r="E118" s="173" t="s">
        <v>834</v>
      </c>
      <c r="F118" s="173"/>
      <c r="G118" s="173"/>
      <c r="H118" s="173" t="s">
        <v>835</v>
      </c>
      <c r="I118" s="173" t="s">
        <v>835</v>
      </c>
      <c r="J118" s="25" t="s">
        <v>1488</v>
      </c>
      <c r="K118" s="5" t="s">
        <v>19</v>
      </c>
      <c r="L118" s="181"/>
      <c r="M118" s="181"/>
      <c r="N118" s="175"/>
      <c r="O118" s="175"/>
      <c r="P118" s="175"/>
      <c r="Q118" s="171">
        <v>117</v>
      </c>
      <c r="R118" s="173"/>
      <c r="S118" s="181"/>
      <c r="T118" s="201" t="s">
        <v>1495</v>
      </c>
      <c r="U118" s="16" t="s">
        <v>1497</v>
      </c>
    </row>
    <row r="119" spans="1:21" s="201" customFormat="1" ht="18.75" customHeight="1">
      <c r="A119" s="171">
        <f t="shared" si="2"/>
        <v>118</v>
      </c>
      <c r="B119" s="172">
        <v>45781</v>
      </c>
      <c r="C119" s="173" t="str">
        <f t="shared" si="3"/>
        <v>Graham Lawson</v>
      </c>
      <c r="D119" s="173" t="s">
        <v>836</v>
      </c>
      <c r="E119" s="173" t="s">
        <v>837</v>
      </c>
      <c r="F119" s="173"/>
      <c r="G119" s="173"/>
      <c r="H119" s="173" t="s">
        <v>838</v>
      </c>
      <c r="I119" s="173" t="s">
        <v>838</v>
      </c>
      <c r="J119" s="25" t="s">
        <v>1488</v>
      </c>
      <c r="K119" s="5" t="s">
        <v>19</v>
      </c>
      <c r="L119" s="174"/>
      <c r="M119" s="174"/>
      <c r="N119" s="175"/>
      <c r="O119" s="175"/>
      <c r="P119" s="175"/>
      <c r="Q119" s="171">
        <v>118</v>
      </c>
      <c r="R119" s="173"/>
      <c r="S119" s="174"/>
      <c r="T119" s="201" t="s">
        <v>1495</v>
      </c>
      <c r="U119" s="16" t="s">
        <v>1497</v>
      </c>
    </row>
    <row r="120" spans="1:21" s="229" customFormat="1" ht="18.75" customHeight="1">
      <c r="A120" s="24">
        <f t="shared" si="2"/>
        <v>119</v>
      </c>
      <c r="B120" s="115">
        <v>45781</v>
      </c>
      <c r="C120" s="5" t="str">
        <f t="shared" si="3"/>
        <v>Jillian Webb</v>
      </c>
      <c r="D120" s="5" t="s">
        <v>839</v>
      </c>
      <c r="E120" s="5" t="s">
        <v>840</v>
      </c>
      <c r="F120" s="5"/>
      <c r="G120" s="5"/>
      <c r="H120" s="5" t="s">
        <v>841</v>
      </c>
      <c r="I120" s="5" t="s">
        <v>841</v>
      </c>
      <c r="J120" s="25" t="s">
        <v>1488</v>
      </c>
      <c r="K120" s="5" t="s">
        <v>19</v>
      </c>
      <c r="L120" s="51">
        <v>45782</v>
      </c>
      <c r="M120" s="51" t="s">
        <v>842</v>
      </c>
      <c r="N120" s="52">
        <v>5</v>
      </c>
      <c r="O120" s="52"/>
      <c r="P120" s="52" t="s">
        <v>17</v>
      </c>
      <c r="Q120" s="24">
        <v>119</v>
      </c>
      <c r="R120" s="5"/>
      <c r="S120" s="51">
        <v>46392</v>
      </c>
      <c r="T120" s="201" t="s">
        <v>1495</v>
      </c>
      <c r="U120" s="16" t="s">
        <v>1497</v>
      </c>
    </row>
    <row r="121" spans="1:21" s="16" customFormat="1" ht="18.75" customHeight="1">
      <c r="A121" s="197">
        <f t="shared" si="2"/>
        <v>120</v>
      </c>
      <c r="B121" s="198">
        <v>45781</v>
      </c>
      <c r="C121" s="19" t="str">
        <f t="shared" si="3"/>
        <v>Peter  Greaves</v>
      </c>
      <c r="D121" s="19" t="s">
        <v>843</v>
      </c>
      <c r="E121" s="19" t="s">
        <v>498</v>
      </c>
      <c r="F121" s="19"/>
      <c r="G121" s="19"/>
      <c r="H121" s="19" t="s">
        <v>844</v>
      </c>
      <c r="I121" s="19" t="s">
        <v>844</v>
      </c>
      <c r="J121" s="25" t="s">
        <v>1488</v>
      </c>
      <c r="K121" s="5" t="s">
        <v>19</v>
      </c>
      <c r="L121" s="199">
        <v>46000</v>
      </c>
      <c r="M121" s="199"/>
      <c r="N121" s="200"/>
      <c r="O121" s="200"/>
      <c r="P121" s="200"/>
      <c r="Q121" s="197">
        <v>120</v>
      </c>
      <c r="R121" s="19" t="s">
        <v>845</v>
      </c>
      <c r="S121" s="199">
        <v>46365</v>
      </c>
      <c r="T121" s="201" t="s">
        <v>1495</v>
      </c>
      <c r="U121" s="16" t="s">
        <v>1497</v>
      </c>
    </row>
    <row r="122" spans="1:21" s="201" customFormat="1" ht="18.75" customHeight="1">
      <c r="A122" s="197">
        <f t="shared" si="2"/>
        <v>121</v>
      </c>
      <c r="B122" s="198">
        <v>45782</v>
      </c>
      <c r="C122" s="19" t="str">
        <f t="shared" si="3"/>
        <v>Callum Dyer</v>
      </c>
      <c r="D122" s="19" t="s">
        <v>846</v>
      </c>
      <c r="E122" s="19" t="s">
        <v>847</v>
      </c>
      <c r="F122" s="19" t="s">
        <v>848</v>
      </c>
      <c r="G122" s="19" t="s">
        <v>849</v>
      </c>
      <c r="H122" s="19" t="s">
        <v>850</v>
      </c>
      <c r="I122" s="19" t="s">
        <v>850</v>
      </c>
      <c r="J122" s="25" t="s">
        <v>1488</v>
      </c>
      <c r="K122" s="5" t="s">
        <v>19</v>
      </c>
      <c r="L122" s="199">
        <v>46029</v>
      </c>
      <c r="M122" s="199"/>
      <c r="N122" s="200"/>
      <c r="O122" s="200"/>
      <c r="P122" s="200"/>
      <c r="Q122" s="197">
        <v>121</v>
      </c>
      <c r="R122" s="19" t="s">
        <v>851</v>
      </c>
      <c r="S122" s="199">
        <v>46394</v>
      </c>
      <c r="T122" s="201" t="s">
        <v>1495</v>
      </c>
      <c r="U122" s="16" t="s">
        <v>1497</v>
      </c>
    </row>
    <row r="123" spans="1:21" ht="18.75" customHeight="1">
      <c r="A123" s="24">
        <f t="shared" si="2"/>
        <v>122</v>
      </c>
      <c r="B123" s="115">
        <v>45782</v>
      </c>
      <c r="C123" s="5" t="str">
        <f t="shared" si="3"/>
        <v>Diane Clark</v>
      </c>
      <c r="D123" s="5" t="s">
        <v>852</v>
      </c>
      <c r="E123" s="5" t="s">
        <v>853</v>
      </c>
      <c r="F123" s="5" t="s">
        <v>435</v>
      </c>
      <c r="G123" s="5" t="s">
        <v>130</v>
      </c>
      <c r="H123" s="5" t="s">
        <v>854</v>
      </c>
      <c r="I123" s="5" t="s">
        <v>854</v>
      </c>
      <c r="J123" s="25" t="s">
        <v>1488</v>
      </c>
      <c r="K123" s="5" t="s">
        <v>19</v>
      </c>
      <c r="L123" s="51">
        <v>45826</v>
      </c>
      <c r="M123" s="51"/>
      <c r="N123" s="52">
        <v>5</v>
      </c>
      <c r="O123" s="52"/>
      <c r="P123" s="52"/>
      <c r="Q123" s="24">
        <v>122</v>
      </c>
      <c r="R123" s="25"/>
      <c r="S123" s="51">
        <v>46191</v>
      </c>
      <c r="T123" s="201" t="s">
        <v>1495</v>
      </c>
      <c r="U123" s="16" t="s">
        <v>1497</v>
      </c>
    </row>
    <row r="124" spans="1:21" s="176" customFormat="1" ht="18.75" customHeight="1">
      <c r="A124" s="197">
        <f t="shared" si="2"/>
        <v>123</v>
      </c>
      <c r="B124" s="198">
        <v>45782</v>
      </c>
      <c r="C124" s="19" t="str">
        <f t="shared" si="3"/>
        <v>Laura Childs</v>
      </c>
      <c r="D124" s="19" t="s">
        <v>855</v>
      </c>
      <c r="E124" s="19" t="s">
        <v>856</v>
      </c>
      <c r="F124" s="19" t="s">
        <v>848</v>
      </c>
      <c r="G124" s="19" t="s">
        <v>849</v>
      </c>
      <c r="H124" s="19" t="s">
        <v>857</v>
      </c>
      <c r="I124" s="19" t="s">
        <v>857</v>
      </c>
      <c r="J124" s="25" t="s">
        <v>1488</v>
      </c>
      <c r="K124" s="5" t="s">
        <v>19</v>
      </c>
      <c r="L124" s="199">
        <v>46029</v>
      </c>
      <c r="M124" s="199"/>
      <c r="N124" s="200">
        <v>5</v>
      </c>
      <c r="O124" s="200"/>
      <c r="P124" s="200"/>
      <c r="Q124" s="197">
        <v>123</v>
      </c>
      <c r="R124" s="19"/>
      <c r="S124" s="199">
        <v>46394</v>
      </c>
      <c r="T124" s="201" t="s">
        <v>1495</v>
      </c>
      <c r="U124" s="16" t="s">
        <v>1497</v>
      </c>
    </row>
    <row r="125" spans="1:21" ht="18.75" customHeight="1">
      <c r="A125" s="24">
        <f t="shared" si="2"/>
        <v>124</v>
      </c>
      <c r="B125" s="115">
        <v>45783</v>
      </c>
      <c r="C125" s="5" t="str">
        <f t="shared" si="3"/>
        <v>Maggie Glancy</v>
      </c>
      <c r="D125" s="5" t="s">
        <v>858</v>
      </c>
      <c r="E125" s="5" t="s">
        <v>859</v>
      </c>
      <c r="F125" s="5" t="s">
        <v>860</v>
      </c>
      <c r="G125" s="5" t="s">
        <v>861</v>
      </c>
      <c r="H125" s="5" t="s">
        <v>862</v>
      </c>
      <c r="I125" s="5" t="s">
        <v>862</v>
      </c>
      <c r="J125" s="25" t="s">
        <v>1488</v>
      </c>
      <c r="K125" s="173" t="s">
        <v>1491</v>
      </c>
      <c r="L125" s="51">
        <v>45987</v>
      </c>
      <c r="M125" s="51"/>
      <c r="N125" s="52">
        <v>5</v>
      </c>
      <c r="O125" s="52"/>
      <c r="P125" s="52"/>
      <c r="Q125" s="24">
        <v>124</v>
      </c>
      <c r="R125" s="25" t="s">
        <v>602</v>
      </c>
      <c r="S125" s="51">
        <v>46352</v>
      </c>
      <c r="T125" s="201" t="s">
        <v>1495</v>
      </c>
      <c r="U125" s="16" t="s">
        <v>1497</v>
      </c>
    </row>
    <row r="126" spans="1:21" ht="18.75" customHeight="1">
      <c r="A126" s="171">
        <f t="shared" si="2"/>
        <v>125</v>
      </c>
      <c r="B126" s="172">
        <v>45783</v>
      </c>
      <c r="C126" s="173" t="str">
        <f t="shared" si="3"/>
        <v>Vicky Inglis</v>
      </c>
      <c r="D126" s="173" t="s">
        <v>863</v>
      </c>
      <c r="E126" s="173" t="s">
        <v>864</v>
      </c>
      <c r="F126" s="173" t="s">
        <v>692</v>
      </c>
      <c r="G126" s="173" t="s">
        <v>865</v>
      </c>
      <c r="H126" s="173" t="s">
        <v>866</v>
      </c>
      <c r="I126" s="173" t="s">
        <v>866</v>
      </c>
      <c r="J126" s="25" t="s">
        <v>1488</v>
      </c>
      <c r="K126" s="173" t="s">
        <v>11</v>
      </c>
      <c r="L126" s="174"/>
      <c r="M126" s="174"/>
      <c r="N126" s="175"/>
      <c r="O126" s="175"/>
      <c r="P126" s="175"/>
      <c r="Q126" s="171">
        <v>125</v>
      </c>
      <c r="R126" s="173"/>
      <c r="S126" s="174"/>
      <c r="T126" s="201" t="s">
        <v>1495</v>
      </c>
      <c r="U126" s="16" t="s">
        <v>1497</v>
      </c>
    </row>
    <row r="127" spans="1:21" s="201" customFormat="1" ht="18.75" customHeight="1">
      <c r="A127" s="24">
        <f t="shared" si="2"/>
        <v>126</v>
      </c>
      <c r="B127" s="115">
        <v>45785</v>
      </c>
      <c r="C127" s="5" t="str">
        <f t="shared" si="3"/>
        <v>Michael &amp; Barbara Bagg</v>
      </c>
      <c r="D127" s="21" t="s">
        <v>868</v>
      </c>
      <c r="E127" s="5" t="s">
        <v>869</v>
      </c>
      <c r="F127" s="5" t="s">
        <v>870</v>
      </c>
      <c r="G127" s="5" t="s">
        <v>871</v>
      </c>
      <c r="H127" s="5" t="s">
        <v>872</v>
      </c>
      <c r="I127" s="5" t="s">
        <v>872</v>
      </c>
      <c r="J127" s="25" t="s">
        <v>1488</v>
      </c>
      <c r="K127" s="5" t="s">
        <v>19</v>
      </c>
      <c r="L127" s="51">
        <v>45785</v>
      </c>
      <c r="M127" s="51">
        <v>46128</v>
      </c>
      <c r="N127" s="52">
        <v>5</v>
      </c>
      <c r="O127" s="52"/>
      <c r="P127" s="54" t="s">
        <v>1492</v>
      </c>
      <c r="Q127" s="24">
        <v>126</v>
      </c>
      <c r="R127" s="5"/>
      <c r="S127" s="51">
        <v>46392</v>
      </c>
      <c r="T127" s="201" t="s">
        <v>1495</v>
      </c>
      <c r="U127" s="16" t="s">
        <v>1497</v>
      </c>
    </row>
    <row r="128" spans="1:21" ht="18.75" customHeight="1">
      <c r="A128" s="24">
        <f t="shared" ref="A128:A191" si="4">Q128</f>
        <v>127</v>
      </c>
      <c r="B128" s="115">
        <v>45790</v>
      </c>
      <c r="C128" s="5" t="str">
        <f t="shared" si="3"/>
        <v>Daphne &amp; Martyn Tanner</v>
      </c>
      <c r="D128" s="5" t="s">
        <v>873</v>
      </c>
      <c r="E128" s="5" t="s">
        <v>874</v>
      </c>
      <c r="F128" s="5" t="s">
        <v>875</v>
      </c>
      <c r="G128" s="5" t="s">
        <v>876</v>
      </c>
      <c r="H128" s="5" t="s">
        <v>877</v>
      </c>
      <c r="I128" s="5" t="s">
        <v>877</v>
      </c>
      <c r="J128" s="25" t="s">
        <v>1488</v>
      </c>
      <c r="K128" s="5" t="s">
        <v>19</v>
      </c>
      <c r="L128" s="51">
        <v>45790</v>
      </c>
      <c r="M128" s="51"/>
      <c r="N128" s="52">
        <v>5</v>
      </c>
      <c r="O128" s="52"/>
      <c r="P128" s="52"/>
      <c r="Q128" s="24">
        <v>127</v>
      </c>
      <c r="R128" s="5"/>
      <c r="S128" s="51">
        <v>46155</v>
      </c>
      <c r="T128" s="201" t="s">
        <v>1495</v>
      </c>
      <c r="U128" s="16" t="s">
        <v>1497</v>
      </c>
    </row>
    <row r="129" spans="1:21" ht="18.75" customHeight="1">
      <c r="A129" s="197">
        <f t="shared" si="4"/>
        <v>128</v>
      </c>
      <c r="B129" s="198">
        <v>45790</v>
      </c>
      <c r="C129" s="19" t="str">
        <f t="shared" si="3"/>
        <v>Marian Nicholas</v>
      </c>
      <c r="D129" s="19" t="s">
        <v>878</v>
      </c>
      <c r="E129" s="19" t="s">
        <v>879</v>
      </c>
      <c r="F129" s="19" t="s">
        <v>423</v>
      </c>
      <c r="G129" s="19" t="s">
        <v>583</v>
      </c>
      <c r="H129" s="19" t="s">
        <v>880</v>
      </c>
      <c r="I129" s="19" t="s">
        <v>880</v>
      </c>
      <c r="J129" s="25" t="s">
        <v>1488</v>
      </c>
      <c r="K129" s="5" t="s">
        <v>19</v>
      </c>
      <c r="L129" s="199">
        <v>45790</v>
      </c>
      <c r="M129" s="199" t="s">
        <v>881</v>
      </c>
      <c r="N129" s="200"/>
      <c r="O129" s="200"/>
      <c r="P129" s="200"/>
      <c r="Q129" s="197">
        <v>128</v>
      </c>
      <c r="R129" s="19" t="s">
        <v>882</v>
      </c>
      <c r="S129" s="199">
        <v>46155</v>
      </c>
      <c r="T129" s="201" t="s">
        <v>1495</v>
      </c>
      <c r="U129" s="16" t="s">
        <v>1497</v>
      </c>
    </row>
    <row r="130" spans="1:21" s="201" customFormat="1" ht="18.75" customHeight="1">
      <c r="A130" s="24">
        <f t="shared" si="4"/>
        <v>129</v>
      </c>
      <c r="B130" s="115">
        <v>45791</v>
      </c>
      <c r="C130" s="5" t="str">
        <f t="shared" ref="C130:C193" si="5">CONCATENATE(D:D," ",E:E)</f>
        <v>Irene Brien</v>
      </c>
      <c r="D130" s="5" t="s">
        <v>883</v>
      </c>
      <c r="E130" s="5" t="s">
        <v>884</v>
      </c>
      <c r="F130" s="5"/>
      <c r="G130" s="5"/>
      <c r="H130" s="5" t="s">
        <v>885</v>
      </c>
      <c r="I130" s="5" t="s">
        <v>885</v>
      </c>
      <c r="J130" s="25" t="s">
        <v>1488</v>
      </c>
      <c r="K130" s="173" t="s">
        <v>1491</v>
      </c>
      <c r="L130" s="51">
        <v>45788</v>
      </c>
      <c r="M130" s="51" t="s">
        <v>886</v>
      </c>
      <c r="N130" s="52">
        <v>5</v>
      </c>
      <c r="O130" s="52"/>
      <c r="P130" s="52" t="s">
        <v>463</v>
      </c>
      <c r="Q130" s="24">
        <v>129</v>
      </c>
      <c r="R130" s="5"/>
      <c r="S130" s="51">
        <v>46392</v>
      </c>
      <c r="T130" s="201" t="s">
        <v>1495</v>
      </c>
      <c r="U130" s="16" t="s">
        <v>1497</v>
      </c>
    </row>
    <row r="131" spans="1:21" ht="18.75" customHeight="1">
      <c r="A131" s="24">
        <f t="shared" si="4"/>
        <v>130</v>
      </c>
      <c r="B131" s="115">
        <v>45791</v>
      </c>
      <c r="C131" s="5" t="str">
        <f t="shared" si="5"/>
        <v>Mary Sansom</v>
      </c>
      <c r="D131" s="5" t="s">
        <v>810</v>
      </c>
      <c r="E131" s="5" t="s">
        <v>887</v>
      </c>
      <c r="F131" s="5" t="s">
        <v>702</v>
      </c>
      <c r="G131" s="149" t="s">
        <v>888</v>
      </c>
      <c r="H131" s="259" t="s">
        <v>180</v>
      </c>
      <c r="I131" s="259" t="s">
        <v>180</v>
      </c>
      <c r="J131" s="25" t="s">
        <v>1488</v>
      </c>
      <c r="K131" s="5" t="s">
        <v>1490</v>
      </c>
      <c r="L131" s="51">
        <v>45826</v>
      </c>
      <c r="M131" s="51"/>
      <c r="N131" s="52">
        <v>10</v>
      </c>
      <c r="O131" s="52"/>
      <c r="P131" s="52"/>
      <c r="Q131" s="24">
        <v>130</v>
      </c>
      <c r="R131" s="100" t="s">
        <v>889</v>
      </c>
      <c r="S131" s="51">
        <v>46191</v>
      </c>
      <c r="T131" s="201" t="s">
        <v>1495</v>
      </c>
      <c r="U131" s="16" t="s">
        <v>1497</v>
      </c>
    </row>
    <row r="132" spans="1:21" ht="18.75" customHeight="1">
      <c r="A132" s="197">
        <f t="shared" si="4"/>
        <v>131</v>
      </c>
      <c r="B132" s="198">
        <v>45791</v>
      </c>
      <c r="C132" s="19" t="str">
        <f t="shared" si="5"/>
        <v>Sam Griffiths</v>
      </c>
      <c r="D132" s="19" t="s">
        <v>890</v>
      </c>
      <c r="E132" s="19" t="s">
        <v>891</v>
      </c>
      <c r="F132" s="19" t="s">
        <v>892</v>
      </c>
      <c r="G132" s="19" t="s">
        <v>605</v>
      </c>
      <c r="H132" s="230" t="s">
        <v>893</v>
      </c>
      <c r="I132" s="230" t="s">
        <v>893</v>
      </c>
      <c r="J132" s="25" t="s">
        <v>1488</v>
      </c>
      <c r="K132" s="5" t="s">
        <v>1490</v>
      </c>
      <c r="L132" s="199">
        <v>46029</v>
      </c>
      <c r="M132" s="199"/>
      <c r="N132" s="200">
        <v>5</v>
      </c>
      <c r="O132" s="200"/>
      <c r="P132" s="200"/>
      <c r="Q132" s="197">
        <v>131</v>
      </c>
      <c r="R132" s="19"/>
      <c r="S132" s="199">
        <v>46394</v>
      </c>
      <c r="T132" s="201" t="s">
        <v>1495</v>
      </c>
      <c r="U132" s="16" t="s">
        <v>1497</v>
      </c>
    </row>
    <row r="133" spans="1:21" s="16" customFormat="1" ht="18.75" customHeight="1">
      <c r="A133" s="24">
        <f t="shared" si="4"/>
        <v>132</v>
      </c>
      <c r="B133" s="115">
        <v>45806</v>
      </c>
      <c r="C133" s="5" t="str">
        <f t="shared" si="5"/>
        <v>David Endersby</v>
      </c>
      <c r="D133" s="5" t="s">
        <v>488</v>
      </c>
      <c r="E133" s="5" t="s">
        <v>894</v>
      </c>
      <c r="F133" s="5" t="s">
        <v>513</v>
      </c>
      <c r="G133" s="5" t="s">
        <v>895</v>
      </c>
      <c r="H133" s="5" t="s">
        <v>896</v>
      </c>
      <c r="I133" s="5" t="s">
        <v>896</v>
      </c>
      <c r="J133" s="25" t="s">
        <v>1488</v>
      </c>
      <c r="K133" s="173" t="s">
        <v>11</v>
      </c>
      <c r="L133" s="51">
        <v>45806</v>
      </c>
      <c r="M133" s="51"/>
      <c r="N133" s="52">
        <v>5</v>
      </c>
      <c r="O133" s="52"/>
      <c r="P133" s="52"/>
      <c r="Q133" s="24">
        <v>132</v>
      </c>
      <c r="R133" s="5"/>
      <c r="S133" s="51">
        <v>46171</v>
      </c>
      <c r="T133" s="201" t="s">
        <v>1495</v>
      </c>
      <c r="U133" s="16" t="s">
        <v>1497</v>
      </c>
    </row>
    <row r="134" spans="1:21" s="176" customFormat="1" ht="18.75" customHeight="1">
      <c r="A134" s="24">
        <f t="shared" si="4"/>
        <v>133</v>
      </c>
      <c r="B134" s="115">
        <v>45807</v>
      </c>
      <c r="C134" s="5" t="str">
        <f t="shared" si="5"/>
        <v>Elaine Emmerton</v>
      </c>
      <c r="D134" s="5" t="s">
        <v>897</v>
      </c>
      <c r="E134" s="5" t="s">
        <v>898</v>
      </c>
      <c r="F134" s="5" t="s">
        <v>899</v>
      </c>
      <c r="G134" s="5" t="s">
        <v>900</v>
      </c>
      <c r="H134" s="5" t="s">
        <v>901</v>
      </c>
      <c r="I134" s="5" t="s">
        <v>901</v>
      </c>
      <c r="J134" s="25" t="s">
        <v>1488</v>
      </c>
      <c r="K134" s="173" t="s">
        <v>11</v>
      </c>
      <c r="L134" s="51">
        <v>45825</v>
      </c>
      <c r="M134" s="51"/>
      <c r="N134" s="52">
        <v>5</v>
      </c>
      <c r="O134" s="52"/>
      <c r="P134" s="52"/>
      <c r="Q134" s="24">
        <v>133</v>
      </c>
      <c r="R134" s="5"/>
      <c r="S134" s="51">
        <v>46190</v>
      </c>
      <c r="T134" s="201" t="s">
        <v>1495</v>
      </c>
      <c r="U134" s="16" t="s">
        <v>1497</v>
      </c>
    </row>
    <row r="135" spans="1:21" s="176" customFormat="1" ht="18.75" customHeight="1">
      <c r="A135" s="24">
        <f t="shared" si="4"/>
        <v>134</v>
      </c>
      <c r="B135" s="115">
        <v>45813</v>
      </c>
      <c r="C135" s="5" t="str">
        <f t="shared" si="5"/>
        <v>Alan Joel</v>
      </c>
      <c r="D135" s="5" t="s">
        <v>902</v>
      </c>
      <c r="E135" s="5" t="s">
        <v>903</v>
      </c>
      <c r="F135" s="5"/>
      <c r="G135" s="5"/>
      <c r="H135" s="5" t="s">
        <v>904</v>
      </c>
      <c r="I135" s="5" t="s">
        <v>904</v>
      </c>
      <c r="J135" s="25" t="s">
        <v>1488</v>
      </c>
      <c r="K135" s="5" t="s">
        <v>14</v>
      </c>
      <c r="L135" s="51">
        <v>45834</v>
      </c>
      <c r="M135" s="51"/>
      <c r="N135" s="52">
        <v>5</v>
      </c>
      <c r="O135" s="52"/>
      <c r="P135" s="52"/>
      <c r="Q135" s="24">
        <v>134</v>
      </c>
      <c r="R135" s="25"/>
      <c r="S135" s="51">
        <v>46199</v>
      </c>
      <c r="T135" s="201" t="s">
        <v>1495</v>
      </c>
      <c r="U135" s="16" t="s">
        <v>1497</v>
      </c>
    </row>
    <row r="136" spans="1:21" s="201" customFormat="1" ht="18.75" customHeight="1">
      <c r="A136" s="197">
        <f t="shared" si="4"/>
        <v>135</v>
      </c>
      <c r="B136" s="198">
        <v>45813</v>
      </c>
      <c r="C136" s="19" t="str">
        <f t="shared" si="5"/>
        <v>Clare Sabiston</v>
      </c>
      <c r="D136" s="19" t="s">
        <v>905</v>
      </c>
      <c r="E136" s="19" t="s">
        <v>906</v>
      </c>
      <c r="F136" s="19" t="s">
        <v>643</v>
      </c>
      <c r="G136" s="19" t="s">
        <v>356</v>
      </c>
      <c r="H136" s="19" t="s">
        <v>907</v>
      </c>
      <c r="I136" s="19" t="s">
        <v>907</v>
      </c>
      <c r="J136" s="25" t="s">
        <v>1488</v>
      </c>
      <c r="K136" s="5" t="s">
        <v>19</v>
      </c>
      <c r="L136" s="199">
        <v>46069</v>
      </c>
      <c r="M136" s="199"/>
      <c r="N136" s="200">
        <v>5</v>
      </c>
      <c r="O136" s="200"/>
      <c r="P136" s="200"/>
      <c r="Q136" s="197">
        <v>135</v>
      </c>
      <c r="R136" s="19"/>
      <c r="S136" s="199">
        <v>46434</v>
      </c>
      <c r="T136" s="201" t="s">
        <v>1495</v>
      </c>
      <c r="U136" s="16" t="s">
        <v>1497</v>
      </c>
    </row>
    <row r="137" spans="1:21" ht="18.75" customHeight="1">
      <c r="A137" s="171">
        <f t="shared" si="4"/>
        <v>136</v>
      </c>
      <c r="B137" s="172">
        <v>45813</v>
      </c>
      <c r="C137" s="173" t="str">
        <f t="shared" si="5"/>
        <v>Daniel Tomlinson</v>
      </c>
      <c r="D137" s="173" t="s">
        <v>908</v>
      </c>
      <c r="E137" s="173" t="s">
        <v>909</v>
      </c>
      <c r="F137" s="173" t="s">
        <v>654</v>
      </c>
      <c r="G137" s="173" t="s">
        <v>655</v>
      </c>
      <c r="H137" s="173" t="s">
        <v>910</v>
      </c>
      <c r="I137" s="173" t="s">
        <v>910</v>
      </c>
      <c r="J137" s="25" t="s">
        <v>1488</v>
      </c>
      <c r="K137" s="173" t="s">
        <v>14</v>
      </c>
      <c r="L137" s="174"/>
      <c r="M137" s="174"/>
      <c r="N137" s="175"/>
      <c r="O137" s="175"/>
      <c r="P137" s="175"/>
      <c r="Q137" s="171">
        <v>136</v>
      </c>
      <c r="R137" s="173"/>
      <c r="S137" s="174"/>
      <c r="T137" s="201" t="s">
        <v>1495</v>
      </c>
      <c r="U137" s="16" t="s">
        <v>1497</v>
      </c>
    </row>
    <row r="138" spans="1:21" ht="18.75" customHeight="1">
      <c r="A138" s="24">
        <f t="shared" si="4"/>
        <v>137</v>
      </c>
      <c r="B138" s="115">
        <v>45813</v>
      </c>
      <c r="C138" s="5" t="str">
        <f t="shared" si="5"/>
        <v>Sonjoy Premi</v>
      </c>
      <c r="D138" s="5" t="s">
        <v>911</v>
      </c>
      <c r="E138" s="5" t="s">
        <v>912</v>
      </c>
      <c r="F138" s="5" t="s">
        <v>423</v>
      </c>
      <c r="G138" s="5"/>
      <c r="H138" s="5" t="s">
        <v>913</v>
      </c>
      <c r="I138" s="5" t="s">
        <v>913</v>
      </c>
      <c r="J138" s="25" t="s">
        <v>1488</v>
      </c>
      <c r="K138" s="173" t="s">
        <v>1491</v>
      </c>
      <c r="L138" s="51">
        <v>46001</v>
      </c>
      <c r="M138" s="51"/>
      <c r="N138" s="52">
        <v>5</v>
      </c>
      <c r="O138" s="52"/>
      <c r="P138" s="52"/>
      <c r="Q138" s="24">
        <v>137</v>
      </c>
      <c r="R138" s="5"/>
      <c r="S138" s="51">
        <v>46366</v>
      </c>
      <c r="T138" s="201" t="s">
        <v>1495</v>
      </c>
      <c r="U138" s="16" t="s">
        <v>1497</v>
      </c>
    </row>
    <row r="139" spans="1:21" s="176" customFormat="1" ht="18.75" customHeight="1">
      <c r="A139" s="24">
        <f t="shared" si="4"/>
        <v>138</v>
      </c>
      <c r="B139" s="115">
        <v>45814</v>
      </c>
      <c r="C139" s="5" t="str">
        <f t="shared" si="5"/>
        <v>Andrew McLuskey</v>
      </c>
      <c r="D139" s="5" t="s">
        <v>444</v>
      </c>
      <c r="E139" s="5" t="s">
        <v>914</v>
      </c>
      <c r="F139" s="5" t="s">
        <v>915</v>
      </c>
      <c r="G139" s="5" t="s">
        <v>916</v>
      </c>
      <c r="H139" s="5" t="s">
        <v>917</v>
      </c>
      <c r="I139" s="5" t="s">
        <v>917</v>
      </c>
      <c r="J139" s="25" t="s">
        <v>1488</v>
      </c>
      <c r="K139" s="5" t="s">
        <v>18</v>
      </c>
      <c r="L139" s="51">
        <v>46001</v>
      </c>
      <c r="M139" s="51"/>
      <c r="N139" s="52">
        <v>5</v>
      </c>
      <c r="O139" s="52"/>
      <c r="P139" s="52"/>
      <c r="Q139" s="24">
        <v>138</v>
      </c>
      <c r="R139" s="5"/>
      <c r="S139" s="51">
        <v>46366</v>
      </c>
      <c r="T139" s="201" t="s">
        <v>1495</v>
      </c>
      <c r="U139" s="16" t="s">
        <v>1497</v>
      </c>
    </row>
    <row r="140" spans="1:21" ht="18.75" customHeight="1">
      <c r="A140" s="24">
        <f t="shared" si="4"/>
        <v>139</v>
      </c>
      <c r="B140" s="115">
        <v>45820</v>
      </c>
      <c r="C140" s="5" t="str">
        <f t="shared" si="5"/>
        <v>Colin Flack</v>
      </c>
      <c r="D140" s="5" t="s">
        <v>918</v>
      </c>
      <c r="E140" s="5" t="s">
        <v>919</v>
      </c>
      <c r="F140" s="5" t="s">
        <v>423</v>
      </c>
      <c r="G140" s="5" t="s">
        <v>920</v>
      </c>
      <c r="H140" s="5" t="s">
        <v>921</v>
      </c>
      <c r="I140" s="5" t="s">
        <v>921</v>
      </c>
      <c r="J140" s="25" t="s">
        <v>1488</v>
      </c>
      <c r="K140" s="5" t="s">
        <v>14</v>
      </c>
      <c r="L140" s="51">
        <v>45820</v>
      </c>
      <c r="M140" s="51"/>
      <c r="N140" s="52">
        <v>5</v>
      </c>
      <c r="O140" s="52"/>
      <c r="P140" s="52"/>
      <c r="Q140" s="24">
        <v>139</v>
      </c>
      <c r="R140" s="5"/>
      <c r="S140" s="51">
        <v>46185</v>
      </c>
      <c r="T140" s="201" t="s">
        <v>1495</v>
      </c>
      <c r="U140" s="16" t="s">
        <v>1497</v>
      </c>
    </row>
    <row r="141" spans="1:21" ht="18.75" customHeight="1">
      <c r="A141" s="171">
        <f t="shared" si="4"/>
        <v>140</v>
      </c>
      <c r="B141" s="172">
        <v>45820</v>
      </c>
      <c r="C141" s="173" t="str">
        <f t="shared" si="5"/>
        <v>Farhad Karimi</v>
      </c>
      <c r="D141" s="173" t="s">
        <v>922</v>
      </c>
      <c r="E141" s="173" t="s">
        <v>923</v>
      </c>
      <c r="F141" s="173" t="s">
        <v>924</v>
      </c>
      <c r="G141" s="173" t="s">
        <v>583</v>
      </c>
      <c r="H141" s="173" t="s">
        <v>925</v>
      </c>
      <c r="I141" s="173" t="s">
        <v>925</v>
      </c>
      <c r="J141" s="25" t="s">
        <v>1488</v>
      </c>
      <c r="K141" s="173" t="s">
        <v>14</v>
      </c>
      <c r="L141" s="174"/>
      <c r="M141" s="174"/>
      <c r="N141" s="175"/>
      <c r="O141" s="175"/>
      <c r="P141" s="175"/>
      <c r="Q141" s="171">
        <v>140</v>
      </c>
      <c r="R141" s="173"/>
      <c r="S141" s="174"/>
      <c r="T141" s="201" t="s">
        <v>1495</v>
      </c>
      <c r="U141" s="16" t="s">
        <v>1497</v>
      </c>
    </row>
    <row r="142" spans="1:21" s="201" customFormat="1" ht="18.75" customHeight="1">
      <c r="A142" s="24">
        <f t="shared" si="4"/>
        <v>141</v>
      </c>
      <c r="B142" s="115">
        <v>45820</v>
      </c>
      <c r="C142" s="5" t="str">
        <f t="shared" si="5"/>
        <v>Sarah Greaves</v>
      </c>
      <c r="D142" s="5" t="s">
        <v>926</v>
      </c>
      <c r="E142" s="5" t="s">
        <v>498</v>
      </c>
      <c r="F142" s="5"/>
      <c r="G142" s="5"/>
      <c r="H142" s="5" t="s">
        <v>927</v>
      </c>
      <c r="I142" s="5" t="s">
        <v>927</v>
      </c>
      <c r="J142" s="25" t="s">
        <v>1488</v>
      </c>
      <c r="K142" s="173" t="s">
        <v>10</v>
      </c>
      <c r="L142" s="51">
        <v>46000</v>
      </c>
      <c r="M142" s="51"/>
      <c r="N142" s="52">
        <v>5</v>
      </c>
      <c r="O142" s="52"/>
      <c r="P142" s="52"/>
      <c r="Q142" s="24">
        <v>141</v>
      </c>
      <c r="R142" s="5"/>
      <c r="S142" s="51">
        <v>46365</v>
      </c>
      <c r="T142" s="201" t="s">
        <v>1495</v>
      </c>
      <c r="U142" s="16" t="s">
        <v>1497</v>
      </c>
    </row>
    <row r="143" spans="1:21" ht="18.75" customHeight="1">
      <c r="A143" s="24">
        <f t="shared" si="4"/>
        <v>142</v>
      </c>
      <c r="B143" s="115">
        <v>45821</v>
      </c>
      <c r="C143" s="5" t="str">
        <f t="shared" si="5"/>
        <v>Linda Lawrie</v>
      </c>
      <c r="D143" s="5" t="s">
        <v>550</v>
      </c>
      <c r="E143" s="5" t="s">
        <v>928</v>
      </c>
      <c r="F143" s="5"/>
      <c r="G143" s="5"/>
      <c r="H143" s="5" t="s">
        <v>254</v>
      </c>
      <c r="I143" s="5" t="s">
        <v>254</v>
      </c>
      <c r="J143" s="25" t="s">
        <v>1488</v>
      </c>
      <c r="K143" s="5" t="s">
        <v>14</v>
      </c>
      <c r="L143" s="51">
        <v>45991</v>
      </c>
      <c r="M143" s="51"/>
      <c r="N143" s="52">
        <v>5</v>
      </c>
      <c r="O143" s="52"/>
      <c r="P143" s="52"/>
      <c r="Q143" s="24">
        <v>142</v>
      </c>
      <c r="R143" s="5"/>
      <c r="S143" s="51">
        <v>46356</v>
      </c>
      <c r="T143" s="201" t="s">
        <v>1495</v>
      </c>
      <c r="U143" s="16" t="s">
        <v>1497</v>
      </c>
    </row>
    <row r="144" spans="1:21" s="176" customFormat="1" ht="18.75" customHeight="1">
      <c r="A144" s="197">
        <f t="shared" si="4"/>
        <v>143</v>
      </c>
      <c r="B144" s="198">
        <v>45822</v>
      </c>
      <c r="C144" s="19" t="str">
        <f t="shared" si="5"/>
        <v>Alison Blundell</v>
      </c>
      <c r="D144" s="19" t="s">
        <v>929</v>
      </c>
      <c r="E144" s="19" t="s">
        <v>930</v>
      </c>
      <c r="F144" s="19" t="s">
        <v>931</v>
      </c>
      <c r="G144" s="19" t="s">
        <v>932</v>
      </c>
      <c r="H144" s="19" t="s">
        <v>933</v>
      </c>
      <c r="I144" s="19" t="s">
        <v>933</v>
      </c>
      <c r="J144" s="25" t="s">
        <v>1488</v>
      </c>
      <c r="K144" s="19" t="s">
        <v>18</v>
      </c>
      <c r="L144" s="199">
        <v>46041</v>
      </c>
      <c r="M144" s="199"/>
      <c r="N144" s="200">
        <v>5</v>
      </c>
      <c r="O144" s="200"/>
      <c r="P144" s="200"/>
      <c r="Q144" s="197">
        <v>143</v>
      </c>
      <c r="R144" s="19"/>
      <c r="S144" s="199">
        <v>46406</v>
      </c>
      <c r="T144" s="201" t="s">
        <v>1495</v>
      </c>
      <c r="U144" s="16" t="s">
        <v>1497</v>
      </c>
    </row>
    <row r="145" spans="1:21" s="176" customFormat="1" ht="18.75" customHeight="1">
      <c r="A145" s="24">
        <f t="shared" si="4"/>
        <v>144</v>
      </c>
      <c r="B145" s="115">
        <v>45822</v>
      </c>
      <c r="C145" s="5" t="str">
        <f t="shared" si="5"/>
        <v>William McLennan</v>
      </c>
      <c r="D145" s="19" t="s">
        <v>934</v>
      </c>
      <c r="E145" s="19" t="s">
        <v>935</v>
      </c>
      <c r="F145" s="5" t="s">
        <v>542</v>
      </c>
      <c r="G145" s="5" t="s">
        <v>543</v>
      </c>
      <c r="H145" s="5" t="s">
        <v>936</v>
      </c>
      <c r="I145" s="5" t="s">
        <v>936</v>
      </c>
      <c r="J145" s="25" t="s">
        <v>1488</v>
      </c>
      <c r="K145" s="5" t="s">
        <v>18</v>
      </c>
      <c r="L145" s="51">
        <v>45834</v>
      </c>
      <c r="M145" s="51"/>
      <c r="N145" s="52">
        <v>5</v>
      </c>
      <c r="O145" s="52"/>
      <c r="P145" s="52"/>
      <c r="Q145" s="24">
        <v>144</v>
      </c>
      <c r="R145" s="5"/>
      <c r="S145" s="51">
        <v>46199</v>
      </c>
      <c r="T145" s="201" t="s">
        <v>1495</v>
      </c>
      <c r="U145" s="16" t="s">
        <v>1497</v>
      </c>
    </row>
    <row r="146" spans="1:21" ht="18.75" customHeight="1">
      <c r="A146" s="24">
        <f t="shared" si="4"/>
        <v>145</v>
      </c>
      <c r="B146" s="115">
        <v>45822</v>
      </c>
      <c r="C146" s="5" t="str">
        <f t="shared" si="5"/>
        <v>Cathy Waters</v>
      </c>
      <c r="D146" s="5" t="s">
        <v>937</v>
      </c>
      <c r="E146" s="5" t="s">
        <v>938</v>
      </c>
      <c r="F146" s="5" t="s">
        <v>702</v>
      </c>
      <c r="G146" s="5" t="s">
        <v>703</v>
      </c>
      <c r="H146" s="5" t="s">
        <v>939</v>
      </c>
      <c r="I146" s="5" t="s">
        <v>939</v>
      </c>
      <c r="J146" s="25" t="s">
        <v>1488</v>
      </c>
      <c r="K146" s="5" t="s">
        <v>18</v>
      </c>
      <c r="L146" s="51"/>
      <c r="M146" s="51" t="s">
        <v>68</v>
      </c>
      <c r="N146" s="52">
        <v>5</v>
      </c>
      <c r="O146" s="52"/>
      <c r="P146" s="52" t="s">
        <v>463</v>
      </c>
      <c r="Q146" s="24">
        <v>145</v>
      </c>
      <c r="R146" s="5" t="s">
        <v>940</v>
      </c>
      <c r="S146" s="51">
        <v>46391</v>
      </c>
      <c r="T146" s="201" t="s">
        <v>1495</v>
      </c>
      <c r="U146" s="16" t="s">
        <v>1497</v>
      </c>
    </row>
    <row r="147" spans="1:21" s="176" customFormat="1" ht="18.75" customHeight="1">
      <c r="A147" s="171">
        <f t="shared" si="4"/>
        <v>146</v>
      </c>
      <c r="B147" s="172">
        <v>45822</v>
      </c>
      <c r="C147" s="173" t="str">
        <f t="shared" si="5"/>
        <v>Deborah Nutt</v>
      </c>
      <c r="D147" s="173" t="s">
        <v>941</v>
      </c>
      <c r="E147" s="173" t="s">
        <v>942</v>
      </c>
      <c r="F147" s="173" t="s">
        <v>943</v>
      </c>
      <c r="G147" s="173" t="s">
        <v>178</v>
      </c>
      <c r="H147" s="173" t="s">
        <v>944</v>
      </c>
      <c r="I147" s="173" t="s">
        <v>944</v>
      </c>
      <c r="J147" s="25" t="s">
        <v>1488</v>
      </c>
      <c r="K147" s="173" t="s">
        <v>18</v>
      </c>
      <c r="L147" s="174"/>
      <c r="M147" s="174"/>
      <c r="N147" s="175"/>
      <c r="O147" s="175"/>
      <c r="P147" s="175"/>
      <c r="Q147" s="171">
        <v>146</v>
      </c>
      <c r="R147" s="173"/>
      <c r="S147" s="174"/>
      <c r="T147" s="201" t="s">
        <v>1495</v>
      </c>
      <c r="U147" s="16" t="s">
        <v>1497</v>
      </c>
    </row>
    <row r="148" spans="1:21" s="176" customFormat="1" ht="18.75" customHeight="1">
      <c r="A148" s="171">
        <f t="shared" si="4"/>
        <v>147</v>
      </c>
      <c r="B148" s="172">
        <v>45822</v>
      </c>
      <c r="C148" s="173" t="str">
        <f t="shared" si="5"/>
        <v>Diana Lloyd</v>
      </c>
      <c r="D148" s="173" t="s">
        <v>945</v>
      </c>
      <c r="E148" s="173" t="s">
        <v>477</v>
      </c>
      <c r="F148" s="173" t="s">
        <v>946</v>
      </c>
      <c r="G148" s="173" t="s">
        <v>461</v>
      </c>
      <c r="H148" s="173" t="s">
        <v>947</v>
      </c>
      <c r="I148" s="173" t="s">
        <v>947</v>
      </c>
      <c r="J148" s="25" t="s">
        <v>1488</v>
      </c>
      <c r="K148" s="173" t="s">
        <v>18</v>
      </c>
      <c r="L148" s="174"/>
      <c r="M148" s="174"/>
      <c r="N148" s="175"/>
      <c r="O148" s="175"/>
      <c r="P148" s="175"/>
      <c r="Q148" s="171">
        <v>147</v>
      </c>
      <c r="R148" s="173"/>
      <c r="S148" s="174"/>
      <c r="T148" s="201" t="s">
        <v>1495</v>
      </c>
      <c r="U148" s="16" t="s">
        <v>1497</v>
      </c>
    </row>
    <row r="149" spans="1:21" ht="18.75" customHeight="1">
      <c r="A149" s="171">
        <f t="shared" si="4"/>
        <v>148</v>
      </c>
      <c r="B149" s="172">
        <v>45822</v>
      </c>
      <c r="C149" s="173" t="str">
        <f t="shared" si="5"/>
        <v>Ernst Bachmann</v>
      </c>
      <c r="D149" s="173" t="s">
        <v>948</v>
      </c>
      <c r="E149" s="173" t="s">
        <v>949</v>
      </c>
      <c r="F149" s="173" t="s">
        <v>450</v>
      </c>
      <c r="G149" s="173" t="s">
        <v>950</v>
      </c>
      <c r="H149" s="173" t="s">
        <v>951</v>
      </c>
      <c r="I149" s="173" t="s">
        <v>951</v>
      </c>
      <c r="J149" s="25" t="s">
        <v>1488</v>
      </c>
      <c r="K149" s="173" t="s">
        <v>18</v>
      </c>
      <c r="L149" s="174"/>
      <c r="M149" s="174"/>
      <c r="N149" s="175"/>
      <c r="O149" s="175"/>
      <c r="P149" s="175"/>
      <c r="Q149" s="171">
        <v>148</v>
      </c>
      <c r="R149" s="173"/>
      <c r="S149" s="174"/>
      <c r="T149" s="201" t="s">
        <v>1495</v>
      </c>
      <c r="U149" s="16" t="s">
        <v>1497</v>
      </c>
    </row>
    <row r="150" spans="1:21" s="176" customFormat="1" ht="18.75" customHeight="1">
      <c r="A150" s="171">
        <f t="shared" si="4"/>
        <v>149</v>
      </c>
      <c r="B150" s="172">
        <v>45822</v>
      </c>
      <c r="C150" s="173" t="str">
        <f t="shared" si="5"/>
        <v>Evelyn Mitchell</v>
      </c>
      <c r="D150" s="173" t="s">
        <v>952</v>
      </c>
      <c r="E150" s="173" t="s">
        <v>953</v>
      </c>
      <c r="F150" s="173" t="s">
        <v>954</v>
      </c>
      <c r="G150" s="173" t="s">
        <v>955</v>
      </c>
      <c r="H150" s="173" t="s">
        <v>956</v>
      </c>
      <c r="I150" s="173" t="s">
        <v>956</v>
      </c>
      <c r="J150" s="25" t="s">
        <v>1488</v>
      </c>
      <c r="K150" s="173" t="s">
        <v>18</v>
      </c>
      <c r="L150" s="174"/>
      <c r="M150" s="174"/>
      <c r="N150" s="175"/>
      <c r="O150" s="175"/>
      <c r="P150" s="175"/>
      <c r="Q150" s="171">
        <v>149</v>
      </c>
      <c r="R150" s="173"/>
      <c r="S150" s="174"/>
      <c r="T150" s="201" t="s">
        <v>1495</v>
      </c>
      <c r="U150" s="16" t="s">
        <v>1497</v>
      </c>
    </row>
    <row r="151" spans="1:21" ht="18.75" customHeight="1">
      <c r="A151" s="24">
        <f t="shared" si="4"/>
        <v>150</v>
      </c>
      <c r="B151" s="115">
        <v>45822</v>
      </c>
      <c r="C151" s="5" t="str">
        <f t="shared" si="5"/>
        <v>Francesca Parsons</v>
      </c>
      <c r="D151" s="19" t="s">
        <v>957</v>
      </c>
      <c r="E151" s="19" t="s">
        <v>958</v>
      </c>
      <c r="F151" s="5" t="s">
        <v>959</v>
      </c>
      <c r="G151" s="5" t="s">
        <v>960</v>
      </c>
      <c r="H151" s="5" t="s">
        <v>961</v>
      </c>
      <c r="I151" s="5" t="s">
        <v>961</v>
      </c>
      <c r="J151" s="25" t="s">
        <v>1488</v>
      </c>
      <c r="K151" s="5" t="s">
        <v>18</v>
      </c>
      <c r="L151" s="51">
        <v>45827</v>
      </c>
      <c r="M151" s="51"/>
      <c r="N151" s="52">
        <v>5</v>
      </c>
      <c r="O151" s="52">
        <v>5</v>
      </c>
      <c r="P151" s="52"/>
      <c r="Q151" s="24">
        <v>150</v>
      </c>
      <c r="R151" s="5" t="s">
        <v>962</v>
      </c>
      <c r="S151" s="51">
        <v>46192</v>
      </c>
      <c r="T151" s="201" t="s">
        <v>1495</v>
      </c>
      <c r="U151" s="16" t="s">
        <v>1497</v>
      </c>
    </row>
    <row r="152" spans="1:21" ht="18.75" customHeight="1">
      <c r="A152" s="24">
        <f t="shared" si="4"/>
        <v>151</v>
      </c>
      <c r="B152" s="115">
        <v>45822</v>
      </c>
      <c r="C152" s="5" t="str">
        <f t="shared" si="5"/>
        <v>Gary  Waters</v>
      </c>
      <c r="D152" s="5" t="s">
        <v>963</v>
      </c>
      <c r="E152" s="5" t="s">
        <v>938</v>
      </c>
      <c r="F152" s="5" t="s">
        <v>702</v>
      </c>
      <c r="G152" s="5" t="s">
        <v>703</v>
      </c>
      <c r="H152" s="5" t="s">
        <v>964</v>
      </c>
      <c r="I152" s="5" t="s">
        <v>964</v>
      </c>
      <c r="J152" s="25" t="s">
        <v>1488</v>
      </c>
      <c r="K152" s="5" t="s">
        <v>18</v>
      </c>
      <c r="L152" s="51"/>
      <c r="M152" s="51" t="s">
        <v>68</v>
      </c>
      <c r="N152" s="52"/>
      <c r="O152" s="52"/>
      <c r="P152" s="52"/>
      <c r="Q152" s="24">
        <v>151</v>
      </c>
      <c r="R152" s="5" t="s">
        <v>965</v>
      </c>
      <c r="S152" s="51">
        <v>46391</v>
      </c>
      <c r="T152" s="201" t="s">
        <v>1495</v>
      </c>
      <c r="U152" s="16" t="s">
        <v>1497</v>
      </c>
    </row>
    <row r="153" spans="1:21" s="176" customFormat="1" ht="18.75" customHeight="1">
      <c r="A153" s="24">
        <f t="shared" si="4"/>
        <v>152</v>
      </c>
      <c r="B153" s="115">
        <v>45822</v>
      </c>
      <c r="C153" s="5" t="str">
        <f t="shared" si="5"/>
        <v>Heather Wasley</v>
      </c>
      <c r="D153" s="5" t="s">
        <v>726</v>
      </c>
      <c r="E153" s="5" t="s">
        <v>719</v>
      </c>
      <c r="F153" s="5" t="s">
        <v>142</v>
      </c>
      <c r="G153" s="5" t="s">
        <v>430</v>
      </c>
      <c r="H153" s="5" t="s">
        <v>966</v>
      </c>
      <c r="I153" s="5" t="s">
        <v>966</v>
      </c>
      <c r="J153" s="25" t="s">
        <v>1488</v>
      </c>
      <c r="K153" s="5" t="s">
        <v>18</v>
      </c>
      <c r="L153" s="51">
        <v>46003</v>
      </c>
      <c r="M153" s="51"/>
      <c r="N153" s="52">
        <v>0</v>
      </c>
      <c r="O153" s="52"/>
      <c r="P153" s="52"/>
      <c r="Q153" s="24">
        <v>152</v>
      </c>
      <c r="R153" s="5" t="s">
        <v>967</v>
      </c>
      <c r="S153" s="51">
        <v>46368</v>
      </c>
      <c r="T153" s="201" t="s">
        <v>1495</v>
      </c>
      <c r="U153" s="16" t="s">
        <v>1497</v>
      </c>
    </row>
    <row r="154" spans="1:21" ht="18.75" customHeight="1">
      <c r="A154" s="171">
        <f t="shared" si="4"/>
        <v>153</v>
      </c>
      <c r="B154" s="172">
        <v>45822</v>
      </c>
      <c r="C154" s="173" t="str">
        <f t="shared" si="5"/>
        <v>Helen Beecham</v>
      </c>
      <c r="D154" s="173" t="s">
        <v>511</v>
      </c>
      <c r="E154" s="173" t="s">
        <v>968</v>
      </c>
      <c r="F154" s="173" t="s">
        <v>782</v>
      </c>
      <c r="G154" s="173" t="s">
        <v>969</v>
      </c>
      <c r="H154" s="173" t="s">
        <v>970</v>
      </c>
      <c r="I154" s="173" t="s">
        <v>970</v>
      </c>
      <c r="J154" s="25" t="s">
        <v>1488</v>
      </c>
      <c r="K154" s="173" t="s">
        <v>18</v>
      </c>
      <c r="L154" s="174"/>
      <c r="M154" s="174"/>
      <c r="N154" s="175"/>
      <c r="O154" s="175"/>
      <c r="P154" s="175"/>
      <c r="Q154" s="171">
        <v>153</v>
      </c>
      <c r="R154" s="173"/>
      <c r="S154" s="174"/>
      <c r="T154" s="201" t="s">
        <v>1495</v>
      </c>
      <c r="U154" s="16" t="s">
        <v>1497</v>
      </c>
    </row>
    <row r="155" spans="1:21" ht="18.75" customHeight="1">
      <c r="A155" s="171">
        <f t="shared" si="4"/>
        <v>154</v>
      </c>
      <c r="B155" s="172">
        <v>45822</v>
      </c>
      <c r="C155" s="173" t="str">
        <f t="shared" si="5"/>
        <v>Howard Wooton</v>
      </c>
      <c r="D155" s="173" t="s">
        <v>971</v>
      </c>
      <c r="E155" s="173" t="s">
        <v>972</v>
      </c>
      <c r="F155" s="173" t="s">
        <v>559</v>
      </c>
      <c r="G155" s="173" t="s">
        <v>932</v>
      </c>
      <c r="H155" s="173" t="s">
        <v>973</v>
      </c>
      <c r="I155" s="173" t="s">
        <v>973</v>
      </c>
      <c r="J155" s="25" t="s">
        <v>1488</v>
      </c>
      <c r="K155" s="173" t="s">
        <v>18</v>
      </c>
      <c r="L155" s="174"/>
      <c r="M155" s="174"/>
      <c r="N155" s="175"/>
      <c r="O155" s="175"/>
      <c r="P155" s="175"/>
      <c r="Q155" s="171">
        <v>154</v>
      </c>
      <c r="R155" s="173"/>
      <c r="S155" s="174"/>
      <c r="T155" s="201" t="s">
        <v>1495</v>
      </c>
      <c r="U155" s="16" t="s">
        <v>1497</v>
      </c>
    </row>
    <row r="156" spans="1:21" s="201" customFormat="1" ht="18.75" customHeight="1">
      <c r="A156" s="24">
        <f t="shared" si="4"/>
        <v>155</v>
      </c>
      <c r="B156" s="115">
        <v>45822</v>
      </c>
      <c r="C156" s="5" t="str">
        <f t="shared" si="5"/>
        <v>Jan Sivelle</v>
      </c>
      <c r="D156" s="5" t="s">
        <v>974</v>
      </c>
      <c r="E156" s="5" t="s">
        <v>975</v>
      </c>
      <c r="F156" s="5" t="s">
        <v>423</v>
      </c>
      <c r="G156" s="5" t="s">
        <v>583</v>
      </c>
      <c r="H156" s="99" t="s">
        <v>976</v>
      </c>
      <c r="I156" s="99" t="s">
        <v>976</v>
      </c>
      <c r="J156" s="25" t="s">
        <v>1488</v>
      </c>
      <c r="K156" s="5" t="s">
        <v>18</v>
      </c>
      <c r="L156" s="51">
        <v>46000</v>
      </c>
      <c r="M156" s="51"/>
      <c r="N156" s="52">
        <v>10</v>
      </c>
      <c r="O156" s="52"/>
      <c r="P156" s="52"/>
      <c r="Q156" s="24">
        <v>155</v>
      </c>
      <c r="R156" s="160" t="s">
        <v>977</v>
      </c>
      <c r="S156" s="51">
        <v>46365</v>
      </c>
      <c r="T156" s="201" t="s">
        <v>1495</v>
      </c>
      <c r="U156" s="16" t="s">
        <v>1497</v>
      </c>
    </row>
    <row r="157" spans="1:21" ht="18.75" customHeight="1">
      <c r="A157" s="24">
        <f t="shared" si="4"/>
        <v>156</v>
      </c>
      <c r="B157" s="115">
        <v>45822</v>
      </c>
      <c r="C157" s="5" t="str">
        <f t="shared" si="5"/>
        <v>Jenny Burnell</v>
      </c>
      <c r="D157" s="5" t="s">
        <v>533</v>
      </c>
      <c r="E157" s="5" t="s">
        <v>978</v>
      </c>
      <c r="F157" s="5" t="s">
        <v>979</v>
      </c>
      <c r="G157" s="5" t="s">
        <v>980</v>
      </c>
      <c r="H157" s="5" t="s">
        <v>981</v>
      </c>
      <c r="I157" s="5" t="s">
        <v>981</v>
      </c>
      <c r="J157" s="25" t="s">
        <v>1488</v>
      </c>
      <c r="K157" s="5" t="s">
        <v>18</v>
      </c>
      <c r="L157" s="51">
        <v>46003</v>
      </c>
      <c r="M157" s="51"/>
      <c r="N157" s="54">
        <v>5</v>
      </c>
      <c r="O157" s="54"/>
      <c r="P157" s="54"/>
      <c r="Q157" s="24">
        <v>156</v>
      </c>
      <c r="R157" s="5"/>
      <c r="S157" s="51">
        <v>46368</v>
      </c>
      <c r="T157" s="201" t="s">
        <v>1495</v>
      </c>
      <c r="U157" s="16" t="s">
        <v>1497</v>
      </c>
    </row>
    <row r="158" spans="1:21" s="176" customFormat="1" ht="18.75" customHeight="1">
      <c r="A158" s="197">
        <f t="shared" si="4"/>
        <v>157</v>
      </c>
      <c r="B158" s="198">
        <v>45822</v>
      </c>
      <c r="C158" s="19" t="str">
        <f t="shared" si="5"/>
        <v>Jo McLuskey</v>
      </c>
      <c r="D158" s="19" t="s">
        <v>982</v>
      </c>
      <c r="E158" s="19" t="s">
        <v>914</v>
      </c>
      <c r="F158" s="19" t="s">
        <v>915</v>
      </c>
      <c r="G158" s="19" t="s">
        <v>916</v>
      </c>
      <c r="H158" s="19" t="s">
        <v>983</v>
      </c>
      <c r="I158" s="19" t="s">
        <v>983</v>
      </c>
      <c r="J158" s="25" t="s">
        <v>1488</v>
      </c>
      <c r="K158" s="19" t="s">
        <v>18</v>
      </c>
      <c r="L158" s="199">
        <v>46001</v>
      </c>
      <c r="M158" s="199"/>
      <c r="N158" s="200"/>
      <c r="O158" s="200"/>
      <c r="P158" s="200"/>
      <c r="Q158" s="197">
        <v>157</v>
      </c>
      <c r="R158" s="19" t="s">
        <v>984</v>
      </c>
      <c r="S158" s="199">
        <v>46366</v>
      </c>
      <c r="T158" s="201" t="s">
        <v>1495</v>
      </c>
      <c r="U158" s="16" t="s">
        <v>1497</v>
      </c>
    </row>
    <row r="159" spans="1:21" ht="18.75" customHeight="1">
      <c r="A159" s="24">
        <f t="shared" si="4"/>
        <v>158</v>
      </c>
      <c r="B159" s="115">
        <v>45822</v>
      </c>
      <c r="C159" s="5" t="str">
        <f t="shared" si="5"/>
        <v>Joan Fox</v>
      </c>
      <c r="D159" s="5" t="s">
        <v>985</v>
      </c>
      <c r="E159" s="19" t="s">
        <v>986</v>
      </c>
      <c r="F159" s="5" t="s">
        <v>450</v>
      </c>
      <c r="G159" s="5" t="s">
        <v>662</v>
      </c>
      <c r="H159" s="5" t="s">
        <v>987</v>
      </c>
      <c r="I159" s="5" t="s">
        <v>987</v>
      </c>
      <c r="J159" s="25" t="s">
        <v>1488</v>
      </c>
      <c r="K159" s="5" t="s">
        <v>18</v>
      </c>
      <c r="L159" s="51">
        <v>46001</v>
      </c>
      <c r="M159" s="51"/>
      <c r="N159" s="52">
        <v>5</v>
      </c>
      <c r="O159" s="52"/>
      <c r="P159" s="52"/>
      <c r="Q159" s="24">
        <v>158</v>
      </c>
      <c r="R159" s="5"/>
      <c r="S159" s="51">
        <v>46366</v>
      </c>
      <c r="T159" s="201" t="s">
        <v>1495</v>
      </c>
      <c r="U159" s="16" t="s">
        <v>1497</v>
      </c>
    </row>
    <row r="160" spans="1:21" s="177" customFormat="1" ht="18.75" customHeight="1">
      <c r="A160" s="171">
        <f t="shared" si="4"/>
        <v>159</v>
      </c>
      <c r="B160" s="172">
        <v>45822</v>
      </c>
      <c r="C160" s="173" t="str">
        <f t="shared" si="5"/>
        <v>Joan Nicolson</v>
      </c>
      <c r="D160" s="173" t="s">
        <v>985</v>
      </c>
      <c r="E160" s="173" t="s">
        <v>988</v>
      </c>
      <c r="F160" s="173" t="s">
        <v>441</v>
      </c>
      <c r="G160" s="173" t="s">
        <v>348</v>
      </c>
      <c r="H160" s="173"/>
      <c r="I160" s="173"/>
      <c r="J160" s="25" t="s">
        <v>1488</v>
      </c>
      <c r="K160" s="173" t="s">
        <v>18</v>
      </c>
      <c r="L160" s="174"/>
      <c r="M160" s="174"/>
      <c r="N160" s="175"/>
      <c r="O160" s="175"/>
      <c r="P160" s="175"/>
      <c r="Q160" s="171">
        <v>159</v>
      </c>
      <c r="R160" s="173"/>
      <c r="S160" s="174"/>
      <c r="T160" s="201" t="s">
        <v>1495</v>
      </c>
      <c r="U160" s="16" t="s">
        <v>1497</v>
      </c>
    </row>
    <row r="161" spans="1:21" s="201" customFormat="1" ht="18.75" customHeight="1">
      <c r="A161" s="24">
        <f t="shared" si="4"/>
        <v>160</v>
      </c>
      <c r="B161" s="115">
        <v>45822</v>
      </c>
      <c r="C161" s="5" t="str">
        <f t="shared" si="5"/>
        <v>John Loydell</v>
      </c>
      <c r="D161" s="19" t="s">
        <v>428</v>
      </c>
      <c r="E161" s="19" t="s">
        <v>989</v>
      </c>
      <c r="F161" s="5" t="s">
        <v>654</v>
      </c>
      <c r="G161" s="5" t="s">
        <v>990</v>
      </c>
      <c r="H161" s="5" t="s">
        <v>991</v>
      </c>
      <c r="I161" s="5" t="s">
        <v>991</v>
      </c>
      <c r="J161" s="25" t="s">
        <v>1488</v>
      </c>
      <c r="K161" s="5" t="s">
        <v>18</v>
      </c>
      <c r="L161" s="57">
        <v>46001</v>
      </c>
      <c r="M161" s="60"/>
      <c r="N161" s="52">
        <v>5</v>
      </c>
      <c r="O161" s="52"/>
      <c r="P161" s="52"/>
      <c r="Q161" s="24">
        <v>160</v>
      </c>
      <c r="R161" s="5"/>
      <c r="S161" s="57">
        <v>46366</v>
      </c>
      <c r="T161" s="201" t="s">
        <v>1495</v>
      </c>
      <c r="U161" s="16" t="s">
        <v>1497</v>
      </c>
    </row>
    <row r="162" spans="1:21" ht="18.75" customHeight="1">
      <c r="A162" s="171">
        <f t="shared" si="4"/>
        <v>161</v>
      </c>
      <c r="B162" s="172">
        <v>45822</v>
      </c>
      <c r="C162" s="173" t="str">
        <f t="shared" si="5"/>
        <v>Julie McCarthy</v>
      </c>
      <c r="D162" s="173" t="s">
        <v>439</v>
      </c>
      <c r="E162" s="173" t="s">
        <v>992</v>
      </c>
      <c r="F162" s="173" t="s">
        <v>542</v>
      </c>
      <c r="G162" s="173" t="s">
        <v>543</v>
      </c>
      <c r="H162" s="173"/>
      <c r="I162" s="173"/>
      <c r="J162" s="25" t="s">
        <v>1488</v>
      </c>
      <c r="K162" s="173" t="s">
        <v>18</v>
      </c>
      <c r="L162" s="174"/>
      <c r="M162" s="174"/>
      <c r="N162" s="175"/>
      <c r="O162" s="175"/>
      <c r="P162" s="175"/>
      <c r="Q162" s="171">
        <v>161</v>
      </c>
      <c r="R162" s="173"/>
      <c r="S162" s="174"/>
      <c r="T162" s="201" t="s">
        <v>1495</v>
      </c>
      <c r="U162" s="16" t="s">
        <v>1497</v>
      </c>
    </row>
    <row r="163" spans="1:21" ht="18.75" customHeight="1">
      <c r="A163" s="197">
        <f t="shared" si="4"/>
        <v>162</v>
      </c>
      <c r="B163" s="198">
        <v>45822</v>
      </c>
      <c r="C163" s="19" t="str">
        <f t="shared" si="5"/>
        <v>June Rubley</v>
      </c>
      <c r="D163" s="19" t="s">
        <v>993</v>
      </c>
      <c r="E163" s="19" t="s">
        <v>994</v>
      </c>
      <c r="F163" s="19" t="s">
        <v>692</v>
      </c>
      <c r="G163" s="19" t="s">
        <v>865</v>
      </c>
      <c r="H163" s="230" t="s">
        <v>995</v>
      </c>
      <c r="I163" s="230" t="s">
        <v>995</v>
      </c>
      <c r="J163" s="25" t="s">
        <v>1488</v>
      </c>
      <c r="K163" s="19" t="s">
        <v>18</v>
      </c>
      <c r="L163" s="199">
        <v>46032</v>
      </c>
      <c r="M163" s="199"/>
      <c r="N163" s="200"/>
      <c r="O163" s="200"/>
      <c r="P163" s="200"/>
      <c r="Q163" s="197">
        <v>162</v>
      </c>
      <c r="R163" s="19"/>
      <c r="S163" s="199">
        <v>46397</v>
      </c>
      <c r="T163" s="201" t="s">
        <v>1495</v>
      </c>
      <c r="U163" s="16" t="s">
        <v>1497</v>
      </c>
    </row>
    <row r="164" spans="1:21" ht="18.75" customHeight="1">
      <c r="A164" s="24">
        <f t="shared" si="4"/>
        <v>163</v>
      </c>
      <c r="B164" s="115">
        <v>45822</v>
      </c>
      <c r="C164" s="5" t="str">
        <f t="shared" si="5"/>
        <v>Kathleen Marshall</v>
      </c>
      <c r="D164" s="19" t="s">
        <v>996</v>
      </c>
      <c r="E164" s="19" t="s">
        <v>997</v>
      </c>
      <c r="F164" s="5" t="s">
        <v>362</v>
      </c>
      <c r="G164" s="5" t="s">
        <v>998</v>
      </c>
      <c r="H164" s="5" t="s">
        <v>243</v>
      </c>
      <c r="I164" s="5" t="s">
        <v>243</v>
      </c>
      <c r="J164" s="25" t="s">
        <v>1488</v>
      </c>
      <c r="K164" s="5" t="s">
        <v>18</v>
      </c>
      <c r="L164" s="51">
        <v>45986</v>
      </c>
      <c r="M164" s="51"/>
      <c r="N164" s="52">
        <v>5</v>
      </c>
      <c r="O164" s="52"/>
      <c r="P164" s="52"/>
      <c r="Q164" s="24">
        <v>163</v>
      </c>
      <c r="R164" s="5"/>
      <c r="S164" s="51">
        <v>46351</v>
      </c>
      <c r="T164" s="201" t="s">
        <v>1495</v>
      </c>
      <c r="U164" s="16" t="s">
        <v>1497</v>
      </c>
    </row>
    <row r="165" spans="1:21" s="176" customFormat="1" ht="18.75" customHeight="1">
      <c r="A165" s="24">
        <f t="shared" si="4"/>
        <v>164</v>
      </c>
      <c r="B165" s="115">
        <v>45822</v>
      </c>
      <c r="C165" s="5" t="str">
        <f t="shared" si="5"/>
        <v>Linda Smithers</v>
      </c>
      <c r="D165" s="19" t="s">
        <v>550</v>
      </c>
      <c r="E165" s="19" t="s">
        <v>999</v>
      </c>
      <c r="F165" s="5" t="s">
        <v>142</v>
      </c>
      <c r="G165" s="7" t="s">
        <v>430</v>
      </c>
      <c r="H165" s="7" t="s">
        <v>1000</v>
      </c>
      <c r="I165" s="7" t="s">
        <v>1000</v>
      </c>
      <c r="J165" s="25" t="s">
        <v>1488</v>
      </c>
      <c r="K165" s="5" t="s">
        <v>18</v>
      </c>
      <c r="L165" s="51">
        <v>46006</v>
      </c>
      <c r="M165" s="51"/>
      <c r="N165" s="52">
        <v>5</v>
      </c>
      <c r="O165" s="52"/>
      <c r="P165" s="52"/>
      <c r="Q165" s="24">
        <v>164</v>
      </c>
      <c r="R165" s="5"/>
      <c r="S165" s="51">
        <v>46371</v>
      </c>
      <c r="T165" s="201" t="s">
        <v>1495</v>
      </c>
      <c r="U165" s="16" t="s">
        <v>1497</v>
      </c>
    </row>
    <row r="166" spans="1:21" ht="18.75" customHeight="1">
      <c r="A166" s="24">
        <f t="shared" si="4"/>
        <v>165</v>
      </c>
      <c r="B166" s="115">
        <v>45822</v>
      </c>
      <c r="C166" s="5" t="str">
        <f t="shared" si="5"/>
        <v>Lisa Matthews</v>
      </c>
      <c r="D166" s="19" t="s">
        <v>1001</v>
      </c>
      <c r="E166" s="19" t="s">
        <v>1002</v>
      </c>
      <c r="F166" s="5" t="s">
        <v>423</v>
      </c>
      <c r="G166" s="5" t="s">
        <v>564</v>
      </c>
      <c r="H166" s="5" t="s">
        <v>1003</v>
      </c>
      <c r="I166" s="5" t="s">
        <v>1003</v>
      </c>
      <c r="J166" s="25" t="s">
        <v>1488</v>
      </c>
      <c r="K166" s="5" t="s">
        <v>18</v>
      </c>
      <c r="L166" s="51">
        <v>45987</v>
      </c>
      <c r="M166" s="51"/>
      <c r="N166" s="52">
        <v>5</v>
      </c>
      <c r="O166" s="52"/>
      <c r="P166" s="52"/>
      <c r="Q166" s="24">
        <v>165</v>
      </c>
      <c r="R166" s="101" t="s">
        <v>1004</v>
      </c>
      <c r="S166" s="51">
        <v>46352</v>
      </c>
      <c r="T166" s="201" t="s">
        <v>1495</v>
      </c>
      <c r="U166" s="16" t="s">
        <v>1497</v>
      </c>
    </row>
    <row r="167" spans="1:21" s="201" customFormat="1" ht="18.75" customHeight="1">
      <c r="A167" s="171">
        <f t="shared" si="4"/>
        <v>166</v>
      </c>
      <c r="B167" s="172">
        <v>45822</v>
      </c>
      <c r="C167" s="173" t="str">
        <f t="shared" si="5"/>
        <v>Louise Sears</v>
      </c>
      <c r="D167" s="173" t="s">
        <v>1005</v>
      </c>
      <c r="E167" s="173" t="s">
        <v>1006</v>
      </c>
      <c r="F167" s="173" t="s">
        <v>1007</v>
      </c>
      <c r="G167" s="173" t="s">
        <v>1008</v>
      </c>
      <c r="H167" s="173" t="s">
        <v>1009</v>
      </c>
      <c r="I167" s="173" t="s">
        <v>1009</v>
      </c>
      <c r="J167" s="25" t="s">
        <v>1488</v>
      </c>
      <c r="K167" s="173" t="s">
        <v>18</v>
      </c>
      <c r="L167" s="174"/>
      <c r="M167" s="174"/>
      <c r="N167" s="175"/>
      <c r="O167" s="175"/>
      <c r="P167" s="175"/>
      <c r="Q167" s="171">
        <v>166</v>
      </c>
      <c r="R167" s="173"/>
      <c r="S167" s="174"/>
      <c r="T167" s="201" t="s">
        <v>1495</v>
      </c>
      <c r="U167" s="16" t="s">
        <v>1497</v>
      </c>
    </row>
    <row r="168" spans="1:21" s="177" customFormat="1" ht="18.75" customHeight="1">
      <c r="A168" s="24">
        <f t="shared" si="4"/>
        <v>167</v>
      </c>
      <c r="B168" s="115">
        <v>45822</v>
      </c>
      <c r="C168" s="5" t="str">
        <f t="shared" si="5"/>
        <v>Margaret Loydell</v>
      </c>
      <c r="D168" s="19" t="s">
        <v>421</v>
      </c>
      <c r="E168" s="19" t="s">
        <v>989</v>
      </c>
      <c r="F168" s="5" t="s">
        <v>654</v>
      </c>
      <c r="G168" s="5" t="s">
        <v>990</v>
      </c>
      <c r="H168" s="5" t="s">
        <v>1010</v>
      </c>
      <c r="I168" s="5" t="s">
        <v>1010</v>
      </c>
      <c r="J168" s="25" t="s">
        <v>1488</v>
      </c>
      <c r="K168" s="5" t="s">
        <v>18</v>
      </c>
      <c r="L168" s="51">
        <v>46001</v>
      </c>
      <c r="M168" s="51"/>
      <c r="N168" s="52">
        <v>0</v>
      </c>
      <c r="O168" s="52"/>
      <c r="P168" s="52"/>
      <c r="Q168" s="24">
        <v>167</v>
      </c>
      <c r="R168" s="5" t="s">
        <v>1011</v>
      </c>
      <c r="S168" s="51">
        <v>46366</v>
      </c>
      <c r="T168" s="201" t="s">
        <v>1495</v>
      </c>
      <c r="U168" s="16" t="s">
        <v>1497</v>
      </c>
    </row>
    <row r="169" spans="1:21" ht="18.75" customHeight="1">
      <c r="A169" s="197">
        <f t="shared" si="4"/>
        <v>168</v>
      </c>
      <c r="B169" s="198">
        <v>45822</v>
      </c>
      <c r="C169" s="19" t="str">
        <f t="shared" si="5"/>
        <v>Margery Hopkins</v>
      </c>
      <c r="D169" s="19" t="s">
        <v>1012</v>
      </c>
      <c r="E169" s="19" t="s">
        <v>1013</v>
      </c>
      <c r="F169" s="19" t="s">
        <v>1014</v>
      </c>
      <c r="G169" s="19" t="s">
        <v>801</v>
      </c>
      <c r="H169" s="230" t="s">
        <v>1015</v>
      </c>
      <c r="I169" s="230" t="s">
        <v>1015</v>
      </c>
      <c r="J169" s="25" t="s">
        <v>1488</v>
      </c>
      <c r="K169" s="19" t="s">
        <v>18</v>
      </c>
      <c r="L169" s="199">
        <v>46032</v>
      </c>
      <c r="M169" s="199"/>
      <c r="N169" s="200"/>
      <c r="O169" s="200"/>
      <c r="P169" s="200"/>
      <c r="Q169" s="197">
        <v>168</v>
      </c>
      <c r="R169" s="19"/>
      <c r="S169" s="199">
        <v>46397</v>
      </c>
      <c r="T169" s="201" t="s">
        <v>1495</v>
      </c>
      <c r="U169" s="16" t="s">
        <v>1497</v>
      </c>
    </row>
    <row r="170" spans="1:21" ht="18.75" customHeight="1">
      <c r="A170" s="171">
        <f t="shared" si="4"/>
        <v>169</v>
      </c>
      <c r="B170" s="172">
        <v>45822</v>
      </c>
      <c r="C170" s="173" t="str">
        <f t="shared" si="5"/>
        <v>Marilyn Bachmann</v>
      </c>
      <c r="D170" s="173" t="s">
        <v>562</v>
      </c>
      <c r="E170" s="173" t="s">
        <v>949</v>
      </c>
      <c r="F170" s="173" t="s">
        <v>450</v>
      </c>
      <c r="G170" s="173" t="s">
        <v>950</v>
      </c>
      <c r="H170" s="173" t="s">
        <v>1016</v>
      </c>
      <c r="I170" s="173" t="s">
        <v>1016</v>
      </c>
      <c r="J170" s="25" t="s">
        <v>1488</v>
      </c>
      <c r="K170" s="173" t="s">
        <v>18</v>
      </c>
      <c r="L170" s="174"/>
      <c r="M170" s="174"/>
      <c r="N170" s="175"/>
      <c r="O170" s="175"/>
      <c r="P170" s="175"/>
      <c r="Q170" s="171">
        <v>169</v>
      </c>
      <c r="R170" s="173"/>
      <c r="S170" s="174"/>
      <c r="T170" s="201" t="s">
        <v>1495</v>
      </c>
      <c r="U170" s="16" t="s">
        <v>1497</v>
      </c>
    </row>
    <row r="171" spans="1:21" ht="18.75" customHeight="1">
      <c r="A171" s="24">
        <f t="shared" si="4"/>
        <v>170</v>
      </c>
      <c r="B171" s="115">
        <v>45822</v>
      </c>
      <c r="C171" s="5" t="str">
        <f t="shared" si="5"/>
        <v>Phil  Sivelle</v>
      </c>
      <c r="D171" s="19" t="s">
        <v>1017</v>
      </c>
      <c r="E171" s="19" t="s">
        <v>975</v>
      </c>
      <c r="F171" s="5" t="s">
        <v>423</v>
      </c>
      <c r="G171" s="5" t="s">
        <v>583</v>
      </c>
      <c r="H171" s="5" t="s">
        <v>1018</v>
      </c>
      <c r="I171" s="5" t="s">
        <v>1018</v>
      </c>
      <c r="J171" s="25" t="s">
        <v>1488</v>
      </c>
      <c r="K171" s="5" t="s">
        <v>18</v>
      </c>
      <c r="L171" s="51">
        <v>46000</v>
      </c>
      <c r="M171" s="51"/>
      <c r="N171" s="52">
        <v>0</v>
      </c>
      <c r="O171" s="52"/>
      <c r="P171" s="52"/>
      <c r="Q171" s="24">
        <v>170</v>
      </c>
      <c r="R171" s="5" t="s">
        <v>1019</v>
      </c>
      <c r="S171" s="51">
        <v>46365</v>
      </c>
      <c r="T171" s="201" t="s">
        <v>1495</v>
      </c>
      <c r="U171" s="16" t="s">
        <v>1497</v>
      </c>
    </row>
    <row r="172" spans="1:21" ht="18.75" customHeight="1">
      <c r="A172" s="24">
        <f t="shared" si="4"/>
        <v>171</v>
      </c>
      <c r="B172" s="115">
        <v>45822</v>
      </c>
      <c r="C172" s="5" t="str">
        <f t="shared" si="5"/>
        <v>Richard Meddelton</v>
      </c>
      <c r="D172" s="19" t="s">
        <v>587</v>
      </c>
      <c r="E172" s="19" t="s">
        <v>585</v>
      </c>
      <c r="F172" s="5" t="s">
        <v>423</v>
      </c>
      <c r="G172" s="5" t="s">
        <v>178</v>
      </c>
      <c r="H172" s="5" t="s">
        <v>1020</v>
      </c>
      <c r="I172" s="5" t="s">
        <v>1020</v>
      </c>
      <c r="J172" s="25" t="s">
        <v>1488</v>
      </c>
      <c r="K172" s="5" t="s">
        <v>18</v>
      </c>
      <c r="L172" s="51">
        <v>45847</v>
      </c>
      <c r="M172" s="51"/>
      <c r="N172" s="52">
        <v>0</v>
      </c>
      <c r="O172" s="52"/>
      <c r="P172" s="52"/>
      <c r="Q172" s="24">
        <v>171</v>
      </c>
      <c r="R172" s="5" t="s">
        <v>699</v>
      </c>
      <c r="S172" s="51">
        <v>46212</v>
      </c>
      <c r="T172" s="201" t="s">
        <v>1495</v>
      </c>
      <c r="U172" s="16" t="s">
        <v>1497</v>
      </c>
    </row>
    <row r="173" spans="1:21" s="8" customFormat="1" ht="18.75" customHeight="1">
      <c r="A173" s="24">
        <f t="shared" si="4"/>
        <v>172</v>
      </c>
      <c r="B173" s="115">
        <v>45822</v>
      </c>
      <c r="C173" s="5" t="str">
        <f t="shared" si="5"/>
        <v>Tom Nicholas</v>
      </c>
      <c r="D173" s="5" t="s">
        <v>1021</v>
      </c>
      <c r="E173" s="5" t="s">
        <v>879</v>
      </c>
      <c r="F173" s="5" t="s">
        <v>423</v>
      </c>
      <c r="G173" s="5" t="s">
        <v>583</v>
      </c>
      <c r="H173" s="5" t="s">
        <v>1022</v>
      </c>
      <c r="I173" s="5" t="s">
        <v>1022</v>
      </c>
      <c r="J173" s="25" t="s">
        <v>1488</v>
      </c>
      <c r="K173" s="5" t="s">
        <v>18</v>
      </c>
      <c r="L173" s="51">
        <v>45790</v>
      </c>
      <c r="M173" s="51" t="s">
        <v>881</v>
      </c>
      <c r="N173" s="52">
        <v>5</v>
      </c>
      <c r="O173" s="52"/>
      <c r="P173" s="54" t="s">
        <v>1492</v>
      </c>
      <c r="Q173" s="24">
        <v>172</v>
      </c>
      <c r="R173" s="19" t="s">
        <v>1023</v>
      </c>
      <c r="S173" s="51">
        <v>46392</v>
      </c>
      <c r="T173" s="201" t="s">
        <v>1495</v>
      </c>
      <c r="U173" s="16" t="s">
        <v>1497</v>
      </c>
    </row>
    <row r="174" spans="1:21" s="176" customFormat="1" ht="18.75" customHeight="1">
      <c r="A174" s="24">
        <f t="shared" si="4"/>
        <v>173</v>
      </c>
      <c r="B174" s="115">
        <v>45822</v>
      </c>
      <c r="C174" s="5" t="str">
        <f t="shared" si="5"/>
        <v>Tom Shannon</v>
      </c>
      <c r="D174" s="19" t="s">
        <v>1021</v>
      </c>
      <c r="E174" s="19" t="s">
        <v>474</v>
      </c>
      <c r="F174" s="5" t="s">
        <v>142</v>
      </c>
      <c r="G174" s="5" t="s">
        <v>430</v>
      </c>
      <c r="H174" s="5" t="s">
        <v>1024</v>
      </c>
      <c r="I174" s="5" t="s">
        <v>1024</v>
      </c>
      <c r="J174" s="25" t="s">
        <v>1488</v>
      </c>
      <c r="K174" s="5" t="s">
        <v>18</v>
      </c>
      <c r="L174" s="51">
        <v>46002</v>
      </c>
      <c r="M174" s="51"/>
      <c r="N174" s="52"/>
      <c r="O174" s="52"/>
      <c r="P174" s="52"/>
      <c r="Q174" s="24">
        <v>173</v>
      </c>
      <c r="R174" s="5" t="s">
        <v>1025</v>
      </c>
      <c r="S174" s="51">
        <v>46367</v>
      </c>
      <c r="T174" s="201" t="s">
        <v>1495</v>
      </c>
      <c r="U174" s="16" t="s">
        <v>1497</v>
      </c>
    </row>
    <row r="175" spans="1:21" ht="18.75" customHeight="1">
      <c r="A175" s="24">
        <f t="shared" si="4"/>
        <v>174</v>
      </c>
      <c r="B175" s="115">
        <v>45825</v>
      </c>
      <c r="C175" s="5" t="str">
        <f t="shared" si="5"/>
        <v>Gareth Williams</v>
      </c>
      <c r="D175" s="5" t="s">
        <v>628</v>
      </c>
      <c r="E175" s="5" t="s">
        <v>629</v>
      </c>
      <c r="F175" s="5" t="s">
        <v>450</v>
      </c>
      <c r="G175" s="5" t="s">
        <v>605</v>
      </c>
      <c r="H175" s="5" t="s">
        <v>1026</v>
      </c>
      <c r="I175" s="5" t="s">
        <v>1026</v>
      </c>
      <c r="J175" s="25" t="s">
        <v>1488</v>
      </c>
      <c r="K175" s="173" t="s">
        <v>11</v>
      </c>
      <c r="L175" s="51" t="s">
        <v>1027</v>
      </c>
      <c r="M175" s="51"/>
      <c r="N175" s="52">
        <v>5</v>
      </c>
      <c r="O175" s="52"/>
      <c r="P175" s="52"/>
      <c r="Q175" s="24">
        <v>174</v>
      </c>
      <c r="R175" s="5"/>
      <c r="S175" s="51">
        <v>46190</v>
      </c>
      <c r="T175" s="201" t="s">
        <v>1495</v>
      </c>
      <c r="U175" s="16" t="s">
        <v>1497</v>
      </c>
    </row>
    <row r="176" spans="1:21" ht="18.75" customHeight="1">
      <c r="A176" s="171">
        <f t="shared" si="4"/>
        <v>175</v>
      </c>
      <c r="B176" s="172">
        <v>45829</v>
      </c>
      <c r="C176" s="173" t="str">
        <f t="shared" si="5"/>
        <v>Sherie Oddie</v>
      </c>
      <c r="D176" s="173" t="s">
        <v>1028</v>
      </c>
      <c r="E176" s="173" t="s">
        <v>1029</v>
      </c>
      <c r="F176" s="173" t="s">
        <v>450</v>
      </c>
      <c r="G176" s="173" t="s">
        <v>950</v>
      </c>
      <c r="H176" s="173" t="s">
        <v>1030</v>
      </c>
      <c r="I176" s="173" t="s">
        <v>1030</v>
      </c>
      <c r="J176" s="25" t="s">
        <v>1488</v>
      </c>
      <c r="K176" s="173" t="s">
        <v>14</v>
      </c>
      <c r="L176" s="174"/>
      <c r="M176" s="174"/>
      <c r="N176" s="175"/>
      <c r="O176" s="175"/>
      <c r="P176" s="175"/>
      <c r="Q176" s="171">
        <v>175</v>
      </c>
      <c r="R176" s="173"/>
      <c r="S176" s="174"/>
      <c r="T176" s="201" t="s">
        <v>1495</v>
      </c>
      <c r="U176" s="16" t="s">
        <v>1497</v>
      </c>
    </row>
    <row r="177" spans="1:21" ht="18.75" customHeight="1">
      <c r="A177" s="24">
        <f t="shared" si="4"/>
        <v>176</v>
      </c>
      <c r="B177" s="115">
        <v>45833</v>
      </c>
      <c r="C177" s="5" t="str">
        <f t="shared" si="5"/>
        <v>Josephine Beaumont</v>
      </c>
      <c r="D177" s="28" t="s">
        <v>1031</v>
      </c>
      <c r="E177" s="5" t="s">
        <v>1032</v>
      </c>
      <c r="F177" s="5"/>
      <c r="G177" s="20"/>
      <c r="H177" s="5" t="s">
        <v>1033</v>
      </c>
      <c r="I177" s="5" t="s">
        <v>1033</v>
      </c>
      <c r="J177" s="25" t="s">
        <v>1488</v>
      </c>
      <c r="K177" s="5" t="s">
        <v>17</v>
      </c>
      <c r="L177" s="51">
        <v>45833</v>
      </c>
      <c r="M177" s="51"/>
      <c r="N177" s="52">
        <v>5</v>
      </c>
      <c r="O177" s="52"/>
      <c r="P177" s="52"/>
      <c r="Q177" s="24">
        <v>176</v>
      </c>
      <c r="R177" s="5"/>
      <c r="S177" s="51">
        <v>46198</v>
      </c>
      <c r="T177" s="201" t="s">
        <v>1495</v>
      </c>
      <c r="U177" s="16" t="s">
        <v>1497</v>
      </c>
    </row>
    <row r="178" spans="1:21" s="16" customFormat="1" ht="18.75" customHeight="1">
      <c r="A178" s="24">
        <f t="shared" si="4"/>
        <v>177</v>
      </c>
      <c r="B178" s="115">
        <v>45838</v>
      </c>
      <c r="C178" s="5" t="str">
        <f t="shared" si="5"/>
        <v>Michael Imperato</v>
      </c>
      <c r="D178" s="28" t="s">
        <v>753</v>
      </c>
      <c r="E178" s="5" t="s">
        <v>1034</v>
      </c>
      <c r="F178" s="5"/>
      <c r="G178" s="20"/>
      <c r="H178" s="5" t="s">
        <v>1035</v>
      </c>
      <c r="I178" s="5" t="s">
        <v>1035</v>
      </c>
      <c r="J178" s="25" t="s">
        <v>1488</v>
      </c>
      <c r="K178" s="5" t="s">
        <v>17</v>
      </c>
      <c r="L178" s="51">
        <v>45838</v>
      </c>
      <c r="M178" s="51"/>
      <c r="N178" s="52">
        <v>5</v>
      </c>
      <c r="O178" s="52"/>
      <c r="P178" s="52"/>
      <c r="Q178" s="24">
        <v>177</v>
      </c>
      <c r="R178" s="5"/>
      <c r="S178" s="51">
        <v>46203</v>
      </c>
      <c r="T178" s="201" t="s">
        <v>1495</v>
      </c>
      <c r="U178" s="16" t="s">
        <v>1497</v>
      </c>
    </row>
    <row r="179" spans="1:21" s="176" customFormat="1" ht="18.75" customHeight="1">
      <c r="A179" s="24">
        <f t="shared" si="4"/>
        <v>178</v>
      </c>
      <c r="B179" s="115">
        <v>45841</v>
      </c>
      <c r="C179" s="5" t="str">
        <f t="shared" si="5"/>
        <v>Brenda  Duff</v>
      </c>
      <c r="D179" s="5" t="s">
        <v>1036</v>
      </c>
      <c r="E179" s="5" t="s">
        <v>1037</v>
      </c>
      <c r="F179" s="5" t="s">
        <v>1038</v>
      </c>
      <c r="G179" s="5" t="s">
        <v>1039</v>
      </c>
      <c r="H179" s="5" t="s">
        <v>1040</v>
      </c>
      <c r="I179" s="5" t="s">
        <v>1040</v>
      </c>
      <c r="J179" s="25" t="s">
        <v>1488</v>
      </c>
      <c r="K179" s="5" t="s">
        <v>19</v>
      </c>
      <c r="L179" s="51">
        <v>46001</v>
      </c>
      <c r="M179" s="51"/>
      <c r="N179" s="52">
        <v>5</v>
      </c>
      <c r="O179" s="52"/>
      <c r="P179" s="52"/>
      <c r="Q179" s="24">
        <v>178</v>
      </c>
      <c r="R179" s="5"/>
      <c r="S179" s="51">
        <v>46366</v>
      </c>
      <c r="T179" s="201" t="s">
        <v>1495</v>
      </c>
      <c r="U179" s="16" t="s">
        <v>1497</v>
      </c>
    </row>
    <row r="180" spans="1:21" s="176" customFormat="1" ht="18.75" customHeight="1">
      <c r="A180" s="24">
        <f t="shared" si="4"/>
        <v>179</v>
      </c>
      <c r="B180" s="115">
        <v>45850</v>
      </c>
      <c r="C180" s="5" t="str">
        <f t="shared" si="5"/>
        <v>Barbara McLennan</v>
      </c>
      <c r="D180" s="28" t="s">
        <v>1041</v>
      </c>
      <c r="E180" s="5" t="s">
        <v>935</v>
      </c>
      <c r="F180" s="5"/>
      <c r="G180" s="20"/>
      <c r="H180" s="5" t="s">
        <v>1042</v>
      </c>
      <c r="I180" s="5" t="s">
        <v>1042</v>
      </c>
      <c r="J180" s="25" t="s">
        <v>1488</v>
      </c>
      <c r="K180" s="5" t="s">
        <v>17</v>
      </c>
      <c r="L180" s="51">
        <v>45850</v>
      </c>
      <c r="M180" s="51"/>
      <c r="N180" s="52">
        <v>5</v>
      </c>
      <c r="O180" s="52"/>
      <c r="P180" s="52"/>
      <c r="Q180" s="24">
        <v>179</v>
      </c>
      <c r="R180" s="5"/>
      <c r="S180" s="51">
        <v>46215</v>
      </c>
      <c r="T180" s="201" t="s">
        <v>1495</v>
      </c>
      <c r="U180" s="16" t="s">
        <v>1497</v>
      </c>
    </row>
    <row r="181" spans="1:21" s="201" customFormat="1" ht="18.75" customHeight="1">
      <c r="A181" s="171">
        <f t="shared" si="4"/>
        <v>180</v>
      </c>
      <c r="B181" s="172">
        <v>45873</v>
      </c>
      <c r="C181" s="173" t="str">
        <f t="shared" si="5"/>
        <v>Gurpinder Johal</v>
      </c>
      <c r="D181" s="173" t="s">
        <v>1043</v>
      </c>
      <c r="E181" s="173" t="s">
        <v>1044</v>
      </c>
      <c r="F181" s="173" t="s">
        <v>521</v>
      </c>
      <c r="G181" s="173" t="s">
        <v>1045</v>
      </c>
      <c r="H181" s="173" t="s">
        <v>1046</v>
      </c>
      <c r="I181" s="173" t="s">
        <v>1046</v>
      </c>
      <c r="J181" s="25" t="s">
        <v>1488</v>
      </c>
      <c r="K181" s="5" t="s">
        <v>19</v>
      </c>
      <c r="L181" s="174"/>
      <c r="M181" s="174"/>
      <c r="N181" s="175"/>
      <c r="O181" s="175"/>
      <c r="P181" s="175"/>
      <c r="Q181" s="171">
        <v>180</v>
      </c>
      <c r="R181" s="173"/>
      <c r="S181" s="174"/>
      <c r="T181" s="201" t="s">
        <v>1495</v>
      </c>
      <c r="U181" s="16" t="s">
        <v>1497</v>
      </c>
    </row>
    <row r="182" spans="1:21" ht="18.75" customHeight="1">
      <c r="A182" s="171">
        <f t="shared" si="4"/>
        <v>181</v>
      </c>
      <c r="B182" s="172">
        <v>45873</v>
      </c>
      <c r="C182" s="173" t="str">
        <f t="shared" si="5"/>
        <v>Valerie Bryant</v>
      </c>
      <c r="D182" s="173" t="s">
        <v>613</v>
      </c>
      <c r="E182" s="173" t="s">
        <v>1047</v>
      </c>
      <c r="F182" s="173" t="s">
        <v>441</v>
      </c>
      <c r="G182" s="173" t="s">
        <v>1048</v>
      </c>
      <c r="H182" s="173" t="s">
        <v>1049</v>
      </c>
      <c r="I182" s="173" t="s">
        <v>1049</v>
      </c>
      <c r="J182" s="25" t="s">
        <v>1488</v>
      </c>
      <c r="K182" s="5" t="s">
        <v>19</v>
      </c>
      <c r="L182" s="174"/>
      <c r="M182" s="174"/>
      <c r="N182" s="175"/>
      <c r="O182" s="175"/>
      <c r="P182" s="175"/>
      <c r="Q182" s="171">
        <v>181</v>
      </c>
      <c r="R182" s="173"/>
      <c r="S182" s="174"/>
      <c r="T182" s="201" t="s">
        <v>1495</v>
      </c>
      <c r="U182" s="16" t="s">
        <v>1497</v>
      </c>
    </row>
    <row r="183" spans="1:21" s="201" customFormat="1" ht="18.75" customHeight="1">
      <c r="A183" s="197">
        <f t="shared" si="4"/>
        <v>182</v>
      </c>
      <c r="B183" s="198">
        <v>45890</v>
      </c>
      <c r="C183" s="19" t="str">
        <f t="shared" si="5"/>
        <v>Janet O’Brien</v>
      </c>
      <c r="D183" s="19" t="s">
        <v>1050</v>
      </c>
      <c r="E183" s="19" t="s">
        <v>1051</v>
      </c>
      <c r="F183" s="19" t="s">
        <v>915</v>
      </c>
      <c r="G183" s="19" t="s">
        <v>1052</v>
      </c>
      <c r="H183" s="19" t="s">
        <v>1053</v>
      </c>
      <c r="I183" s="19" t="s">
        <v>1053</v>
      </c>
      <c r="J183" s="25" t="s">
        <v>1488</v>
      </c>
      <c r="K183" s="5" t="s">
        <v>19</v>
      </c>
      <c r="L183" s="199">
        <v>45927</v>
      </c>
      <c r="M183" s="199"/>
      <c r="N183" s="200"/>
      <c r="O183" s="200"/>
      <c r="P183" s="200"/>
      <c r="Q183" s="197">
        <v>182</v>
      </c>
      <c r="R183" s="19"/>
      <c r="S183" s="199" t="s">
        <v>1054</v>
      </c>
      <c r="T183" s="201" t="s">
        <v>1495</v>
      </c>
      <c r="U183" s="16" t="s">
        <v>1497</v>
      </c>
    </row>
    <row r="184" spans="1:21" ht="18.75" customHeight="1">
      <c r="A184" s="24">
        <f t="shared" si="4"/>
        <v>183</v>
      </c>
      <c r="B184" s="115">
        <v>45895</v>
      </c>
      <c r="C184" s="5" t="str">
        <f t="shared" si="5"/>
        <v>Petra Smillie</v>
      </c>
      <c r="D184" s="5" t="s">
        <v>1055</v>
      </c>
      <c r="E184" s="5" t="s">
        <v>1056</v>
      </c>
      <c r="F184" s="5" t="s">
        <v>423</v>
      </c>
      <c r="G184" s="5" t="s">
        <v>1057</v>
      </c>
      <c r="H184" s="5" t="s">
        <v>1058</v>
      </c>
      <c r="I184" s="5" t="s">
        <v>1058</v>
      </c>
      <c r="J184" s="25" t="s">
        <v>1488</v>
      </c>
      <c r="K184" s="5" t="s">
        <v>19</v>
      </c>
      <c r="L184" s="51">
        <v>45895</v>
      </c>
      <c r="M184" s="51"/>
      <c r="N184" s="52">
        <v>5</v>
      </c>
      <c r="O184" s="52"/>
      <c r="P184" s="52"/>
      <c r="Q184" s="24">
        <v>183</v>
      </c>
      <c r="R184" s="5"/>
      <c r="S184" s="51">
        <v>46260</v>
      </c>
      <c r="T184" s="201" t="s">
        <v>1495</v>
      </c>
      <c r="U184" s="16" t="s">
        <v>1497</v>
      </c>
    </row>
    <row r="185" spans="1:21" s="176" customFormat="1" ht="18.75" customHeight="1">
      <c r="A185" s="197">
        <f t="shared" si="4"/>
        <v>184</v>
      </c>
      <c r="B185" s="198">
        <v>45902</v>
      </c>
      <c r="C185" s="19" t="str">
        <f t="shared" si="5"/>
        <v>Tara Bashir</v>
      </c>
      <c r="D185" s="19" t="s">
        <v>1059</v>
      </c>
      <c r="E185" s="19" t="s">
        <v>1060</v>
      </c>
      <c r="F185" s="19" t="s">
        <v>1061</v>
      </c>
      <c r="G185" s="19" t="s">
        <v>1062</v>
      </c>
      <c r="H185" s="19" t="s">
        <v>1063</v>
      </c>
      <c r="I185" s="19" t="s">
        <v>1063</v>
      </c>
      <c r="J185" s="25" t="s">
        <v>1488</v>
      </c>
      <c r="K185" s="19" t="s">
        <v>19</v>
      </c>
      <c r="L185" s="199">
        <v>46028</v>
      </c>
      <c r="M185" s="199"/>
      <c r="N185" s="200">
        <v>5</v>
      </c>
      <c r="O185" s="200"/>
      <c r="P185" s="200"/>
      <c r="Q185" s="197">
        <v>184</v>
      </c>
      <c r="R185" s="19"/>
      <c r="S185" s="199">
        <v>46393</v>
      </c>
      <c r="T185" s="201" t="s">
        <v>1495</v>
      </c>
      <c r="U185" s="16" t="s">
        <v>1497</v>
      </c>
    </row>
    <row r="186" spans="1:21" s="177" customFormat="1" ht="18.75" customHeight="1">
      <c r="A186" s="24">
        <f t="shared" si="4"/>
        <v>185</v>
      </c>
      <c r="B186" s="115">
        <v>45905</v>
      </c>
      <c r="C186" s="5" t="str">
        <f t="shared" si="5"/>
        <v>Pardeep Jagpal</v>
      </c>
      <c r="D186" s="19" t="s">
        <v>1064</v>
      </c>
      <c r="E186" s="5" t="s">
        <v>1065</v>
      </c>
      <c r="F186" s="5" t="s">
        <v>1066</v>
      </c>
      <c r="G186" s="5" t="s">
        <v>1067</v>
      </c>
      <c r="H186" s="5" t="s">
        <v>1068</v>
      </c>
      <c r="I186" s="5" t="s">
        <v>1068</v>
      </c>
      <c r="J186" s="25" t="s">
        <v>1488</v>
      </c>
      <c r="K186" s="5" t="s">
        <v>19</v>
      </c>
      <c r="L186" s="51">
        <v>45905</v>
      </c>
      <c r="M186" s="51"/>
      <c r="N186" s="52">
        <v>5</v>
      </c>
      <c r="O186" s="52"/>
      <c r="P186" s="52"/>
      <c r="Q186" s="24">
        <v>185</v>
      </c>
      <c r="R186" s="5" t="s">
        <v>699</v>
      </c>
      <c r="S186" s="51">
        <v>46270</v>
      </c>
      <c r="T186" s="201" t="s">
        <v>1495</v>
      </c>
      <c r="U186" s="16" t="s">
        <v>1497</v>
      </c>
    </row>
    <row r="187" spans="1:21" s="176" customFormat="1" ht="18.75" customHeight="1">
      <c r="A187" s="171">
        <f t="shared" si="4"/>
        <v>186</v>
      </c>
      <c r="B187" s="172">
        <v>45907</v>
      </c>
      <c r="C187" s="173" t="str">
        <f t="shared" si="5"/>
        <v>Anne-Maria Eusebio</v>
      </c>
      <c r="D187" s="173" t="s">
        <v>1069</v>
      </c>
      <c r="E187" s="173" t="s">
        <v>1070</v>
      </c>
      <c r="F187" s="173" t="s">
        <v>1071</v>
      </c>
      <c r="G187" s="173" t="s">
        <v>1072</v>
      </c>
      <c r="H187" s="173" t="s">
        <v>1073</v>
      </c>
      <c r="I187" s="173" t="s">
        <v>1073</v>
      </c>
      <c r="J187" s="25" t="s">
        <v>1488</v>
      </c>
      <c r="K187" s="173" t="s">
        <v>18</v>
      </c>
      <c r="L187" s="174"/>
      <c r="M187" s="174"/>
      <c r="N187" s="175"/>
      <c r="O187" s="175"/>
      <c r="P187" s="175"/>
      <c r="Q187" s="171">
        <v>186</v>
      </c>
      <c r="R187" s="173"/>
      <c r="S187" s="174"/>
      <c r="T187" s="201" t="s">
        <v>1495</v>
      </c>
      <c r="U187" s="16" t="s">
        <v>1497</v>
      </c>
    </row>
    <row r="188" spans="1:21" s="176" customFormat="1" ht="18.75" customHeight="1">
      <c r="A188" s="171">
        <f t="shared" si="4"/>
        <v>187</v>
      </c>
      <c r="B188" s="172">
        <v>45907</v>
      </c>
      <c r="C188" s="173" t="str">
        <f t="shared" si="5"/>
        <v>David Barham</v>
      </c>
      <c r="D188" s="173" t="s">
        <v>488</v>
      </c>
      <c r="E188" s="173" t="s">
        <v>1074</v>
      </c>
      <c r="F188" s="173" t="s">
        <v>1075</v>
      </c>
      <c r="G188" s="173" t="s">
        <v>1076</v>
      </c>
      <c r="H188" s="173" t="s">
        <v>1077</v>
      </c>
      <c r="I188" s="173" t="s">
        <v>1077</v>
      </c>
      <c r="J188" s="25" t="s">
        <v>1488</v>
      </c>
      <c r="K188" s="173" t="s">
        <v>18</v>
      </c>
      <c r="L188" s="174"/>
      <c r="M188" s="174"/>
      <c r="N188" s="175"/>
      <c r="O188" s="175"/>
      <c r="P188" s="175"/>
      <c r="Q188" s="171">
        <v>187</v>
      </c>
      <c r="R188" s="173"/>
      <c r="S188" s="174"/>
      <c r="T188" s="201" t="s">
        <v>1495</v>
      </c>
      <c r="U188" s="16" t="s">
        <v>1497</v>
      </c>
    </row>
    <row r="189" spans="1:21" ht="18.75" customHeight="1">
      <c r="A189" s="171">
        <f t="shared" si="4"/>
        <v>188</v>
      </c>
      <c r="B189" s="172">
        <v>45907</v>
      </c>
      <c r="C189" s="173" t="str">
        <f t="shared" si="5"/>
        <v>Gabriella Marsalla</v>
      </c>
      <c r="D189" s="173" t="s">
        <v>1078</v>
      </c>
      <c r="E189" s="173" t="s">
        <v>1079</v>
      </c>
      <c r="F189" s="173" t="s">
        <v>1075</v>
      </c>
      <c r="G189" s="173" t="s">
        <v>1076</v>
      </c>
      <c r="H189" s="173" t="s">
        <v>1080</v>
      </c>
      <c r="I189" s="173" t="s">
        <v>1080</v>
      </c>
      <c r="J189" s="25" t="s">
        <v>1488</v>
      </c>
      <c r="K189" s="173" t="s">
        <v>18</v>
      </c>
      <c r="L189" s="174"/>
      <c r="M189" s="174"/>
      <c r="N189" s="175"/>
      <c r="O189" s="175"/>
      <c r="P189" s="175"/>
      <c r="Q189" s="171">
        <v>188</v>
      </c>
      <c r="R189" s="173"/>
      <c r="S189" s="174"/>
      <c r="T189" s="201" t="s">
        <v>1495</v>
      </c>
      <c r="U189" s="16" t="s">
        <v>1497</v>
      </c>
    </row>
    <row r="190" spans="1:21" s="176" customFormat="1" ht="18.75" customHeight="1">
      <c r="A190" s="171">
        <f t="shared" si="4"/>
        <v>189</v>
      </c>
      <c r="B190" s="172">
        <v>45907</v>
      </c>
      <c r="C190" s="173" t="str">
        <f t="shared" si="5"/>
        <v>Gush Bhullar</v>
      </c>
      <c r="D190" s="173" t="s">
        <v>1081</v>
      </c>
      <c r="E190" s="173" t="s">
        <v>1082</v>
      </c>
      <c r="F190" s="173" t="s">
        <v>1083</v>
      </c>
      <c r="G190" s="173" t="s">
        <v>1084</v>
      </c>
      <c r="H190" s="173" t="s">
        <v>1085</v>
      </c>
      <c r="I190" s="173" t="s">
        <v>1085</v>
      </c>
      <c r="J190" s="25" t="s">
        <v>1488</v>
      </c>
      <c r="K190" s="173" t="s">
        <v>18</v>
      </c>
      <c r="L190" s="174"/>
      <c r="M190" s="174"/>
      <c r="N190" s="175"/>
      <c r="O190" s="175"/>
      <c r="P190" s="175"/>
      <c r="Q190" s="171">
        <v>189</v>
      </c>
      <c r="R190" s="173"/>
      <c r="S190" s="174"/>
      <c r="T190" s="201" t="s">
        <v>1495</v>
      </c>
      <c r="U190" s="16" t="s">
        <v>1497</v>
      </c>
    </row>
    <row r="191" spans="1:21" ht="18.75" customHeight="1">
      <c r="A191" s="24">
        <f t="shared" si="4"/>
        <v>190</v>
      </c>
      <c r="B191" s="115">
        <v>45907</v>
      </c>
      <c r="C191" s="5" t="str">
        <f t="shared" si="5"/>
        <v>Karen Mcaleer</v>
      </c>
      <c r="D191" s="5" t="s">
        <v>1086</v>
      </c>
      <c r="E191" s="5" t="s">
        <v>1087</v>
      </c>
      <c r="F191" s="5" t="s">
        <v>1088</v>
      </c>
      <c r="G191" s="5" t="s">
        <v>1089</v>
      </c>
      <c r="H191" s="5" t="s">
        <v>1090</v>
      </c>
      <c r="I191" s="5" t="s">
        <v>1090</v>
      </c>
      <c r="J191" s="25" t="s">
        <v>1488</v>
      </c>
      <c r="K191" s="5" t="s">
        <v>19</v>
      </c>
      <c r="L191" s="51">
        <v>46001</v>
      </c>
      <c r="M191" s="51"/>
      <c r="N191" s="52">
        <v>5</v>
      </c>
      <c r="O191" s="52"/>
      <c r="P191" s="52"/>
      <c r="Q191" s="24">
        <v>190</v>
      </c>
      <c r="R191" s="5"/>
      <c r="S191" s="51">
        <v>46366</v>
      </c>
      <c r="T191" s="201" t="s">
        <v>1495</v>
      </c>
      <c r="U191" s="16" t="s">
        <v>1497</v>
      </c>
    </row>
    <row r="192" spans="1:21" ht="18.75" customHeight="1">
      <c r="A192" s="171">
        <f t="shared" ref="A192:A258" si="6">Q192</f>
        <v>191</v>
      </c>
      <c r="B192" s="172">
        <v>45907</v>
      </c>
      <c r="C192" s="173" t="str">
        <f t="shared" si="5"/>
        <v>Maria Loveridge</v>
      </c>
      <c r="D192" s="173" t="s">
        <v>807</v>
      </c>
      <c r="E192" s="173" t="s">
        <v>1091</v>
      </c>
      <c r="F192" s="173" t="s">
        <v>1092</v>
      </c>
      <c r="G192" s="173" t="s">
        <v>1093</v>
      </c>
      <c r="H192" s="173" t="s">
        <v>1094</v>
      </c>
      <c r="I192" s="173" t="s">
        <v>1094</v>
      </c>
      <c r="J192" s="25" t="s">
        <v>1488</v>
      </c>
      <c r="K192" s="173" t="s">
        <v>18</v>
      </c>
      <c r="L192" s="174"/>
      <c r="M192" s="174"/>
      <c r="N192" s="175"/>
      <c r="O192" s="175"/>
      <c r="P192" s="175"/>
      <c r="Q192" s="171">
        <v>191</v>
      </c>
      <c r="R192" s="173"/>
      <c r="S192" s="174"/>
      <c r="T192" s="201" t="s">
        <v>1495</v>
      </c>
      <c r="U192" s="16" t="s">
        <v>1497</v>
      </c>
    </row>
    <row r="193" spans="1:21" s="176" customFormat="1" ht="18.75" customHeight="1">
      <c r="A193" s="24">
        <f t="shared" si="6"/>
        <v>192</v>
      </c>
      <c r="B193" s="115">
        <v>45907</v>
      </c>
      <c r="C193" s="5" t="str">
        <f t="shared" si="5"/>
        <v>Steve  Stennett</v>
      </c>
      <c r="D193" s="5" t="s">
        <v>1095</v>
      </c>
      <c r="E193" s="19" t="s">
        <v>1096</v>
      </c>
      <c r="F193" s="5" t="s">
        <v>1097</v>
      </c>
      <c r="G193" s="5" t="s">
        <v>876</v>
      </c>
      <c r="H193" s="5" t="s">
        <v>1098</v>
      </c>
      <c r="I193" s="5" t="s">
        <v>1098</v>
      </c>
      <c r="J193" s="25" t="s">
        <v>1488</v>
      </c>
      <c r="K193" s="5" t="s">
        <v>18</v>
      </c>
      <c r="L193" s="51">
        <v>46002</v>
      </c>
      <c r="M193" s="51"/>
      <c r="N193" s="52">
        <v>5</v>
      </c>
      <c r="O193" s="52"/>
      <c r="P193" s="52"/>
      <c r="Q193" s="24">
        <v>192</v>
      </c>
      <c r="R193" s="5"/>
      <c r="S193" s="51">
        <v>46367</v>
      </c>
      <c r="T193" s="201" t="s">
        <v>1495</v>
      </c>
      <c r="U193" s="16" t="s">
        <v>1497</v>
      </c>
    </row>
    <row r="194" spans="1:21" ht="18.75" customHeight="1">
      <c r="A194" s="24">
        <f t="shared" si="6"/>
        <v>193</v>
      </c>
      <c r="B194" s="115">
        <v>45908</v>
      </c>
      <c r="C194" s="5" t="str">
        <f t="shared" ref="C194:C257" si="7">CONCATENATE(D:D," ",E:E)</f>
        <v>Karen Hutchins</v>
      </c>
      <c r="D194" s="5" t="s">
        <v>1086</v>
      </c>
      <c r="E194" s="5" t="s">
        <v>1099</v>
      </c>
      <c r="F194" s="29" t="s">
        <v>538</v>
      </c>
      <c r="G194" s="5" t="s">
        <v>539</v>
      </c>
      <c r="H194" s="5" t="s">
        <v>1100</v>
      </c>
      <c r="I194" s="5" t="s">
        <v>1100</v>
      </c>
      <c r="J194" s="25" t="s">
        <v>1488</v>
      </c>
      <c r="K194" s="5" t="s">
        <v>19</v>
      </c>
      <c r="L194" s="51">
        <v>46003</v>
      </c>
      <c r="M194" s="51"/>
      <c r="N194" s="52">
        <v>5</v>
      </c>
      <c r="O194" s="52"/>
      <c r="P194" s="52"/>
      <c r="Q194" s="24">
        <v>193</v>
      </c>
      <c r="R194" s="5"/>
      <c r="S194" s="51">
        <v>46368</v>
      </c>
      <c r="T194" s="201" t="s">
        <v>1495</v>
      </c>
      <c r="U194" s="16" t="s">
        <v>1497</v>
      </c>
    </row>
    <row r="195" spans="1:21" ht="18.75" customHeight="1">
      <c r="A195" s="171">
        <f t="shared" si="6"/>
        <v>194</v>
      </c>
      <c r="B195" s="172">
        <v>45909</v>
      </c>
      <c r="C195" s="173" t="str">
        <f t="shared" si="7"/>
        <v>Caroline Toll</v>
      </c>
      <c r="D195" s="173" t="s">
        <v>473</v>
      </c>
      <c r="E195" s="173" t="s">
        <v>1101</v>
      </c>
      <c r="F195" s="173" t="s">
        <v>546</v>
      </c>
      <c r="G195" s="173" t="s">
        <v>547</v>
      </c>
      <c r="H195" s="173" t="s">
        <v>1102</v>
      </c>
      <c r="I195" s="173" t="s">
        <v>1102</v>
      </c>
      <c r="J195" s="25" t="s">
        <v>1488</v>
      </c>
      <c r="K195" s="173" t="s">
        <v>19</v>
      </c>
      <c r="L195" s="174"/>
      <c r="M195" s="174"/>
      <c r="N195" s="175"/>
      <c r="O195" s="175"/>
      <c r="P195" s="175"/>
      <c r="Q195" s="171">
        <v>194</v>
      </c>
      <c r="R195" s="173"/>
      <c r="S195" s="174"/>
      <c r="T195" s="201" t="s">
        <v>1495</v>
      </c>
      <c r="U195" s="16" t="s">
        <v>1497</v>
      </c>
    </row>
    <row r="196" spans="1:21" ht="18.75" customHeight="1">
      <c r="A196" s="24">
        <f t="shared" si="6"/>
        <v>195</v>
      </c>
      <c r="B196" s="115">
        <v>45909</v>
      </c>
      <c r="C196" s="5" t="str">
        <f t="shared" si="7"/>
        <v>Mike Keegan</v>
      </c>
      <c r="D196" s="5" t="s">
        <v>1103</v>
      </c>
      <c r="E196" s="5" t="s">
        <v>1104</v>
      </c>
      <c r="F196" s="5" t="s">
        <v>1105</v>
      </c>
      <c r="G196" s="5" t="s">
        <v>729</v>
      </c>
      <c r="H196" s="5" t="s">
        <v>273</v>
      </c>
      <c r="I196" s="5" t="s">
        <v>273</v>
      </c>
      <c r="J196" s="25" t="s">
        <v>1488</v>
      </c>
      <c r="K196" s="5" t="s">
        <v>19</v>
      </c>
      <c r="L196" s="51">
        <v>45909</v>
      </c>
      <c r="M196" s="51"/>
      <c r="N196" s="52">
        <v>10</v>
      </c>
      <c r="O196" s="52"/>
      <c r="P196" s="52"/>
      <c r="Q196" s="24">
        <v>195</v>
      </c>
      <c r="R196" s="158" t="s">
        <v>1106</v>
      </c>
      <c r="S196" s="51">
        <v>46274</v>
      </c>
      <c r="T196" s="201" t="s">
        <v>1495</v>
      </c>
      <c r="U196" s="16" t="s">
        <v>1497</v>
      </c>
    </row>
    <row r="197" spans="1:21" ht="18.75" customHeight="1">
      <c r="A197" s="24">
        <f t="shared" si="6"/>
        <v>196</v>
      </c>
      <c r="B197" s="115">
        <v>45915</v>
      </c>
      <c r="C197" s="5" t="str">
        <f t="shared" si="7"/>
        <v>Keith Gibson</v>
      </c>
      <c r="D197" s="19" t="s">
        <v>1107</v>
      </c>
      <c r="E197" s="19" t="s">
        <v>1108</v>
      </c>
      <c r="F197" s="5" t="s">
        <v>915</v>
      </c>
      <c r="G197" s="5" t="s">
        <v>1052</v>
      </c>
      <c r="H197" s="5" t="s">
        <v>1109</v>
      </c>
      <c r="I197" s="5" t="s">
        <v>1109</v>
      </c>
      <c r="J197" s="25" t="s">
        <v>1488</v>
      </c>
      <c r="K197" s="5" t="s">
        <v>19</v>
      </c>
      <c r="L197" s="51">
        <v>45915</v>
      </c>
      <c r="M197" s="51"/>
      <c r="N197" s="52">
        <v>5</v>
      </c>
      <c r="O197" s="52"/>
      <c r="P197" s="52"/>
      <c r="Q197" s="24">
        <v>196</v>
      </c>
      <c r="R197" s="5"/>
      <c r="S197" s="51">
        <v>46280</v>
      </c>
      <c r="T197" s="201" t="s">
        <v>1495</v>
      </c>
      <c r="U197" s="16" t="s">
        <v>1497</v>
      </c>
    </row>
    <row r="198" spans="1:21" s="176" customFormat="1" ht="18.75" customHeight="1">
      <c r="A198" s="24">
        <f t="shared" si="6"/>
        <v>197</v>
      </c>
      <c r="B198" s="115">
        <v>45915</v>
      </c>
      <c r="C198" s="5" t="str">
        <f t="shared" si="7"/>
        <v>Martin Matthews</v>
      </c>
      <c r="D198" s="5" t="s">
        <v>1110</v>
      </c>
      <c r="E198" s="5" t="s">
        <v>1002</v>
      </c>
      <c r="F198" s="5" t="s">
        <v>450</v>
      </c>
      <c r="G198" s="5" t="s">
        <v>1111</v>
      </c>
      <c r="H198" s="5" t="s">
        <v>1112</v>
      </c>
      <c r="I198" s="5" t="s">
        <v>1112</v>
      </c>
      <c r="J198" s="25" t="s">
        <v>1488</v>
      </c>
      <c r="K198" s="5" t="s">
        <v>19</v>
      </c>
      <c r="L198" s="51">
        <v>45987</v>
      </c>
      <c r="M198" s="51"/>
      <c r="N198" s="52"/>
      <c r="O198" s="52"/>
      <c r="P198" s="52"/>
      <c r="Q198" s="24">
        <v>197</v>
      </c>
      <c r="R198" s="5"/>
      <c r="S198" s="51">
        <v>46352</v>
      </c>
      <c r="T198" s="201" t="s">
        <v>1495</v>
      </c>
      <c r="U198" s="16" t="s">
        <v>1497</v>
      </c>
    </row>
    <row r="199" spans="1:21" ht="18.75" customHeight="1">
      <c r="A199" s="24">
        <f t="shared" si="6"/>
        <v>198</v>
      </c>
      <c r="B199" s="115">
        <v>45915</v>
      </c>
      <c r="C199" s="5" t="str">
        <f t="shared" si="7"/>
        <v>Philip Cambray</v>
      </c>
      <c r="D199" s="19" t="s">
        <v>1113</v>
      </c>
      <c r="E199" s="19" t="s">
        <v>1114</v>
      </c>
      <c r="F199" s="5" t="s">
        <v>702</v>
      </c>
      <c r="G199" s="5" t="s">
        <v>888</v>
      </c>
      <c r="H199" s="5" t="s">
        <v>1115</v>
      </c>
      <c r="I199" s="5" t="s">
        <v>1115</v>
      </c>
      <c r="J199" s="25" t="s">
        <v>1488</v>
      </c>
      <c r="K199" s="5" t="s">
        <v>19</v>
      </c>
      <c r="L199" s="51">
        <v>45987</v>
      </c>
      <c r="M199" s="51"/>
      <c r="N199" s="52">
        <v>5</v>
      </c>
      <c r="O199" s="52"/>
      <c r="P199" s="52"/>
      <c r="Q199" s="24">
        <v>198</v>
      </c>
      <c r="R199" s="25" t="s">
        <v>1116</v>
      </c>
      <c r="S199" s="51">
        <v>46352</v>
      </c>
      <c r="T199" s="201" t="s">
        <v>1495</v>
      </c>
      <c r="U199" s="16" t="s">
        <v>1497</v>
      </c>
    </row>
    <row r="200" spans="1:21" s="176" customFormat="1" ht="18.75" customHeight="1">
      <c r="A200" s="171">
        <f t="shared" si="6"/>
        <v>199</v>
      </c>
      <c r="B200" s="172">
        <v>45926</v>
      </c>
      <c r="C200" s="173" t="str">
        <f t="shared" si="7"/>
        <v>Mike Murphy</v>
      </c>
      <c r="D200" s="173" t="s">
        <v>1103</v>
      </c>
      <c r="E200" s="173" t="s">
        <v>1117</v>
      </c>
      <c r="F200" s="173"/>
      <c r="G200" s="173"/>
      <c r="H200" s="173" t="s">
        <v>1118</v>
      </c>
      <c r="I200" s="173" t="s">
        <v>1118</v>
      </c>
      <c r="J200" s="25" t="s">
        <v>1488</v>
      </c>
      <c r="K200" s="173" t="s">
        <v>14</v>
      </c>
      <c r="L200" s="174"/>
      <c r="M200" s="174"/>
      <c r="N200" s="175"/>
      <c r="O200" s="175"/>
      <c r="P200" s="175"/>
      <c r="Q200" s="171">
        <v>199</v>
      </c>
      <c r="R200" s="173"/>
      <c r="S200" s="174"/>
      <c r="T200" s="201" t="s">
        <v>1495</v>
      </c>
      <c r="U200" s="16" t="s">
        <v>1497</v>
      </c>
    </row>
    <row r="201" spans="1:21" s="176" customFormat="1" ht="18.75" customHeight="1">
      <c r="A201" s="24">
        <f t="shared" si="6"/>
        <v>200</v>
      </c>
      <c r="B201" s="115">
        <v>45927</v>
      </c>
      <c r="C201" s="5" t="str">
        <f t="shared" si="7"/>
        <v>Ann Robinson</v>
      </c>
      <c r="D201" s="5" t="s">
        <v>1119</v>
      </c>
      <c r="E201" s="5" t="s">
        <v>422</v>
      </c>
      <c r="F201" s="5" t="s">
        <v>637</v>
      </c>
      <c r="G201" s="5" t="s">
        <v>207</v>
      </c>
      <c r="H201" s="5" t="s">
        <v>1120</v>
      </c>
      <c r="I201" s="5" t="s">
        <v>1120</v>
      </c>
      <c r="J201" s="25" t="s">
        <v>1488</v>
      </c>
      <c r="K201" s="5" t="s">
        <v>18</v>
      </c>
      <c r="L201" s="51">
        <v>45985</v>
      </c>
      <c r="M201" s="51"/>
      <c r="N201" s="52">
        <v>5</v>
      </c>
      <c r="O201" s="52"/>
      <c r="P201" s="52"/>
      <c r="Q201" s="24">
        <v>200</v>
      </c>
      <c r="R201" s="5"/>
      <c r="S201" s="51">
        <v>46350</v>
      </c>
      <c r="T201" s="201" t="s">
        <v>1495</v>
      </c>
      <c r="U201" s="16" t="s">
        <v>1497</v>
      </c>
    </row>
    <row r="202" spans="1:21" s="176" customFormat="1" ht="18.75" customHeight="1">
      <c r="A202" s="171">
        <f t="shared" si="6"/>
        <v>201</v>
      </c>
      <c r="B202" s="172">
        <v>45927</v>
      </c>
      <c r="C202" s="173" t="str">
        <f t="shared" si="7"/>
        <v>Audrey Aylott</v>
      </c>
      <c r="D202" s="173" t="s">
        <v>1121</v>
      </c>
      <c r="E202" s="173" t="s">
        <v>1122</v>
      </c>
      <c r="F202" s="173" t="s">
        <v>1123</v>
      </c>
      <c r="G202" s="173" t="s">
        <v>1124</v>
      </c>
      <c r="H202" s="173" t="s">
        <v>1125</v>
      </c>
      <c r="I202" s="173" t="s">
        <v>1125</v>
      </c>
      <c r="J202" s="25" t="s">
        <v>1488</v>
      </c>
      <c r="K202" s="173" t="s">
        <v>18</v>
      </c>
      <c r="L202" s="174"/>
      <c r="M202" s="174"/>
      <c r="N202" s="175"/>
      <c r="O202" s="175"/>
      <c r="P202" s="175"/>
      <c r="Q202" s="171">
        <v>201</v>
      </c>
      <c r="R202" s="173"/>
      <c r="S202" s="174"/>
      <c r="T202" s="201" t="s">
        <v>1495</v>
      </c>
      <c r="U202" s="16" t="s">
        <v>1497</v>
      </c>
    </row>
    <row r="203" spans="1:21" ht="18.75" customHeight="1">
      <c r="A203" s="171">
        <f t="shared" si="6"/>
        <v>202</v>
      </c>
      <c r="B203" s="172">
        <v>45927</v>
      </c>
      <c r="C203" s="173" t="str">
        <f t="shared" si="7"/>
        <v>Barry Clarke</v>
      </c>
      <c r="D203" s="173" t="s">
        <v>723</v>
      </c>
      <c r="E203" s="173" t="s">
        <v>1126</v>
      </c>
      <c r="F203" s="173" t="s">
        <v>1127</v>
      </c>
      <c r="G203" s="173" t="s">
        <v>1128</v>
      </c>
      <c r="H203" s="179" t="s">
        <v>1129</v>
      </c>
      <c r="I203" s="179" t="s">
        <v>1129</v>
      </c>
      <c r="J203" s="25" t="s">
        <v>1488</v>
      </c>
      <c r="K203" s="173" t="s">
        <v>18</v>
      </c>
      <c r="L203" s="174"/>
      <c r="M203" s="174"/>
      <c r="N203" s="175"/>
      <c r="O203" s="175"/>
      <c r="P203" s="175"/>
      <c r="Q203" s="171">
        <v>202</v>
      </c>
      <c r="R203" s="173"/>
      <c r="S203" s="174"/>
      <c r="T203" s="201" t="s">
        <v>1495</v>
      </c>
      <c r="U203" s="16" t="s">
        <v>1497</v>
      </c>
    </row>
    <row r="204" spans="1:21" ht="18.75" customHeight="1">
      <c r="A204" s="24">
        <f t="shared" si="6"/>
        <v>203</v>
      </c>
      <c r="B204" s="115">
        <v>45927</v>
      </c>
      <c r="C204" s="5" t="str">
        <f t="shared" si="7"/>
        <v>Bernadette Williams</v>
      </c>
      <c r="D204" s="5" t="s">
        <v>1130</v>
      </c>
      <c r="E204" s="5" t="s">
        <v>629</v>
      </c>
      <c r="F204" s="5" t="s">
        <v>637</v>
      </c>
      <c r="G204" s="5" t="s">
        <v>638</v>
      </c>
      <c r="H204" s="6" t="s">
        <v>262</v>
      </c>
      <c r="I204" s="6" t="s">
        <v>262</v>
      </c>
      <c r="J204" s="25" t="s">
        <v>1488</v>
      </c>
      <c r="K204" s="5" t="s">
        <v>18</v>
      </c>
      <c r="L204" s="51">
        <v>45700</v>
      </c>
      <c r="M204" s="51"/>
      <c r="N204" s="52"/>
      <c r="O204" s="52"/>
      <c r="P204" s="52"/>
      <c r="Q204" s="24">
        <v>203</v>
      </c>
      <c r="R204" s="5" t="s">
        <v>1131</v>
      </c>
      <c r="S204" s="51">
        <v>46034</v>
      </c>
      <c r="T204" s="201" t="s">
        <v>1495</v>
      </c>
      <c r="U204" s="16" t="s">
        <v>1497</v>
      </c>
    </row>
    <row r="205" spans="1:21" ht="18.75" customHeight="1">
      <c r="A205" s="24">
        <f t="shared" si="6"/>
        <v>204</v>
      </c>
      <c r="B205" s="115">
        <v>45927</v>
      </c>
      <c r="C205" s="5" t="str">
        <f t="shared" si="7"/>
        <v>Cara Mackley</v>
      </c>
      <c r="D205" s="5" t="s">
        <v>1132</v>
      </c>
      <c r="E205" s="5" t="s">
        <v>1133</v>
      </c>
      <c r="F205" s="5" t="s">
        <v>142</v>
      </c>
      <c r="G205" s="5" t="s">
        <v>1134</v>
      </c>
      <c r="H205" s="5" t="s">
        <v>1135</v>
      </c>
      <c r="I205" s="5" t="s">
        <v>1135</v>
      </c>
      <c r="J205" s="25" t="s">
        <v>1488</v>
      </c>
      <c r="K205" s="5" t="s">
        <v>18</v>
      </c>
      <c r="L205" s="51">
        <v>45957</v>
      </c>
      <c r="M205" s="51"/>
      <c r="N205" s="52">
        <v>5</v>
      </c>
      <c r="O205" s="52"/>
      <c r="P205" s="52"/>
      <c r="Q205" s="24">
        <v>204</v>
      </c>
      <c r="R205" s="5"/>
      <c r="S205" s="51">
        <v>46322</v>
      </c>
      <c r="T205" s="201" t="s">
        <v>1495</v>
      </c>
      <c r="U205" s="16" t="s">
        <v>1497</v>
      </c>
    </row>
    <row r="206" spans="1:21" s="176" customFormat="1" ht="18.75" customHeight="1">
      <c r="A206" s="171">
        <f t="shared" si="6"/>
        <v>205</v>
      </c>
      <c r="B206" s="172">
        <v>45927</v>
      </c>
      <c r="C206" s="173" t="str">
        <f t="shared" si="7"/>
        <v>Christine  Sutcliffe</v>
      </c>
      <c r="D206" s="173" t="s">
        <v>1136</v>
      </c>
      <c r="E206" s="173" t="s">
        <v>1137</v>
      </c>
      <c r="F206" s="173" t="s">
        <v>1127</v>
      </c>
      <c r="G206" s="173" t="s">
        <v>1128</v>
      </c>
      <c r="H206" s="173" t="s">
        <v>1138</v>
      </c>
      <c r="I206" s="173" t="s">
        <v>1138</v>
      </c>
      <c r="J206" s="25" t="s">
        <v>1488</v>
      </c>
      <c r="K206" s="173" t="s">
        <v>18</v>
      </c>
      <c r="L206" s="174"/>
      <c r="M206" s="174"/>
      <c r="N206" s="175"/>
      <c r="O206" s="175"/>
      <c r="P206" s="175"/>
      <c r="Q206" s="171">
        <v>205</v>
      </c>
      <c r="R206" s="173"/>
      <c r="S206" s="174"/>
      <c r="T206" s="201" t="s">
        <v>1495</v>
      </c>
      <c r="U206" s="16" t="s">
        <v>1497</v>
      </c>
    </row>
    <row r="207" spans="1:21" s="201" customFormat="1" ht="18.75" customHeight="1">
      <c r="A207" s="24">
        <f t="shared" si="6"/>
        <v>206</v>
      </c>
      <c r="B207" s="115">
        <v>45927</v>
      </c>
      <c r="C207" s="5" t="str">
        <f t="shared" si="7"/>
        <v>Derek Scott</v>
      </c>
      <c r="D207" s="5" t="s">
        <v>1139</v>
      </c>
      <c r="E207" s="5" t="s">
        <v>614</v>
      </c>
      <c r="F207" s="5" t="s">
        <v>513</v>
      </c>
      <c r="G207" s="5" t="s">
        <v>615</v>
      </c>
      <c r="H207" s="5"/>
      <c r="I207" s="5"/>
      <c r="J207" s="25" t="s">
        <v>1488</v>
      </c>
      <c r="K207" s="5" t="s">
        <v>18</v>
      </c>
      <c r="L207" s="51">
        <v>46010</v>
      </c>
      <c r="M207" s="51"/>
      <c r="N207" s="52"/>
      <c r="O207" s="52"/>
      <c r="P207" s="52"/>
      <c r="Q207" s="24">
        <v>206</v>
      </c>
      <c r="R207" s="5" t="s">
        <v>1140</v>
      </c>
      <c r="S207" s="51">
        <v>46375</v>
      </c>
      <c r="T207" s="201" t="s">
        <v>1495</v>
      </c>
      <c r="U207" s="16" t="s">
        <v>1497</v>
      </c>
    </row>
    <row r="208" spans="1:21" s="201" customFormat="1" ht="18.75" customHeight="1">
      <c r="A208" s="171">
        <f t="shared" si="6"/>
        <v>207</v>
      </c>
      <c r="B208" s="263">
        <v>45927</v>
      </c>
      <c r="C208" s="257" t="str">
        <f t="shared" si="7"/>
        <v>Helen  Barker</v>
      </c>
      <c r="D208" s="257" t="s">
        <v>1141</v>
      </c>
      <c r="E208" s="257" t="s">
        <v>742</v>
      </c>
      <c r="F208" s="257" t="s">
        <v>142</v>
      </c>
      <c r="G208" s="257" t="s">
        <v>143</v>
      </c>
      <c r="H208" s="257" t="s">
        <v>1142</v>
      </c>
      <c r="I208" s="257" t="s">
        <v>1142</v>
      </c>
      <c r="J208" s="25" t="s">
        <v>1488</v>
      </c>
      <c r="K208" s="173" t="s">
        <v>18</v>
      </c>
      <c r="L208" s="174"/>
      <c r="M208" s="174"/>
      <c r="N208" s="175"/>
      <c r="O208" s="175"/>
      <c r="P208" s="175"/>
      <c r="Q208" s="171">
        <v>207</v>
      </c>
      <c r="R208" s="264" t="s">
        <v>1143</v>
      </c>
      <c r="S208" s="174"/>
      <c r="T208" s="201" t="s">
        <v>1495</v>
      </c>
      <c r="U208" s="16" t="s">
        <v>1497</v>
      </c>
    </row>
    <row r="209" spans="1:21" ht="18.75" customHeight="1">
      <c r="A209" s="197">
        <f t="shared" si="6"/>
        <v>208</v>
      </c>
      <c r="B209" s="198">
        <v>45927</v>
      </c>
      <c r="C209" s="19" t="str">
        <f t="shared" si="7"/>
        <v>Ian Kirby</v>
      </c>
      <c r="D209" s="19" t="s">
        <v>1144</v>
      </c>
      <c r="E209" s="19" t="s">
        <v>1145</v>
      </c>
      <c r="F209" s="19" t="s">
        <v>1146</v>
      </c>
      <c r="G209" s="19" t="s">
        <v>1147</v>
      </c>
      <c r="H209" s="19" t="s">
        <v>1148</v>
      </c>
      <c r="I209" s="19" t="s">
        <v>1148</v>
      </c>
      <c r="J209" s="25" t="s">
        <v>1488</v>
      </c>
      <c r="K209" s="19" t="s">
        <v>18</v>
      </c>
      <c r="L209" s="199">
        <v>45916</v>
      </c>
      <c r="M209" s="199"/>
      <c r="N209" s="200">
        <v>0</v>
      </c>
      <c r="O209" s="200"/>
      <c r="P209" s="200"/>
      <c r="Q209" s="197">
        <v>208</v>
      </c>
      <c r="R209" s="19" t="s">
        <v>1149</v>
      </c>
      <c r="S209" s="199">
        <v>46281</v>
      </c>
      <c r="T209" s="201" t="s">
        <v>1495</v>
      </c>
      <c r="U209" s="16" t="s">
        <v>1497</v>
      </c>
    </row>
    <row r="210" spans="1:21" s="176" customFormat="1" ht="18.75" customHeight="1">
      <c r="A210" s="197">
        <f t="shared" si="6"/>
        <v>209</v>
      </c>
      <c r="B210" s="198">
        <v>45927</v>
      </c>
      <c r="C210" s="19" t="str">
        <f t="shared" si="7"/>
        <v>Jane  Whiting</v>
      </c>
      <c r="D210" s="19" t="s">
        <v>1150</v>
      </c>
      <c r="E210" s="19" t="s">
        <v>1151</v>
      </c>
      <c r="F210" s="19" t="s">
        <v>1152</v>
      </c>
      <c r="G210" s="19" t="s">
        <v>1153</v>
      </c>
      <c r="H210" s="19" t="s">
        <v>1154</v>
      </c>
      <c r="I210" s="19" t="s">
        <v>1154</v>
      </c>
      <c r="J210" s="25" t="s">
        <v>1488</v>
      </c>
      <c r="K210" s="19" t="s">
        <v>18</v>
      </c>
      <c r="L210" s="199">
        <v>45927</v>
      </c>
      <c r="M210" s="199"/>
      <c r="N210" s="200"/>
      <c r="O210" s="200"/>
      <c r="P210" s="200"/>
      <c r="Q210" s="197">
        <v>209</v>
      </c>
      <c r="R210" s="19"/>
      <c r="S210" s="199">
        <v>46292</v>
      </c>
      <c r="T210" s="201" t="s">
        <v>1495</v>
      </c>
      <c r="U210" s="16" t="s">
        <v>1497</v>
      </c>
    </row>
    <row r="211" spans="1:21" ht="18.75" customHeight="1">
      <c r="A211" s="24">
        <f t="shared" si="6"/>
        <v>210</v>
      </c>
      <c r="B211" s="115">
        <v>45927</v>
      </c>
      <c r="C211" s="5" t="str">
        <f t="shared" si="7"/>
        <v>Jeannette Brown</v>
      </c>
      <c r="D211" s="5" t="s">
        <v>1155</v>
      </c>
      <c r="E211" s="5" t="s">
        <v>525</v>
      </c>
      <c r="F211" s="5" t="s">
        <v>1156</v>
      </c>
      <c r="G211" s="5" t="s">
        <v>399</v>
      </c>
      <c r="H211" s="5" t="s">
        <v>393</v>
      </c>
      <c r="I211" s="5" t="s">
        <v>393</v>
      </c>
      <c r="J211" s="25" t="s">
        <v>1488</v>
      </c>
      <c r="K211" s="5" t="s">
        <v>19</v>
      </c>
      <c r="L211" s="51">
        <v>45927</v>
      </c>
      <c r="M211" s="51"/>
      <c r="N211" s="52">
        <v>5</v>
      </c>
      <c r="O211" s="52">
        <v>50</v>
      </c>
      <c r="P211" s="52"/>
      <c r="Q211" s="24">
        <v>210</v>
      </c>
      <c r="R211" s="5" t="s">
        <v>1157</v>
      </c>
      <c r="S211" s="51" t="s">
        <v>1158</v>
      </c>
      <c r="T211" s="201" t="s">
        <v>1495</v>
      </c>
      <c r="U211" s="16" t="s">
        <v>1497</v>
      </c>
    </row>
    <row r="212" spans="1:21" s="176" customFormat="1" ht="18.75" customHeight="1">
      <c r="A212" s="171">
        <f t="shared" si="6"/>
        <v>211</v>
      </c>
      <c r="B212" s="172">
        <v>45927</v>
      </c>
      <c r="C212" s="173" t="str">
        <f t="shared" si="7"/>
        <v>Jill Palin</v>
      </c>
      <c r="D212" s="173" t="s">
        <v>1159</v>
      </c>
      <c r="E212" s="173" t="s">
        <v>1160</v>
      </c>
      <c r="F212" s="173" t="s">
        <v>423</v>
      </c>
      <c r="G212" s="173" t="s">
        <v>1161</v>
      </c>
      <c r="H212" s="173" t="s">
        <v>1162</v>
      </c>
      <c r="I212" s="173" t="s">
        <v>1162</v>
      </c>
      <c r="J212" s="25" t="s">
        <v>1488</v>
      </c>
      <c r="K212" s="173" t="s">
        <v>18</v>
      </c>
      <c r="L212" s="174"/>
      <c r="M212" s="174"/>
      <c r="N212" s="175"/>
      <c r="O212" s="175"/>
      <c r="P212" s="175"/>
      <c r="Q212" s="171">
        <v>211</v>
      </c>
      <c r="R212" s="173"/>
      <c r="S212" s="174"/>
      <c r="T212" s="201" t="s">
        <v>1495</v>
      </c>
      <c r="U212" s="16" t="s">
        <v>1497</v>
      </c>
    </row>
    <row r="213" spans="1:21" ht="18.75" customHeight="1">
      <c r="A213" s="24">
        <f t="shared" si="6"/>
        <v>212</v>
      </c>
      <c r="B213" s="115">
        <v>45927</v>
      </c>
      <c r="C213" s="5" t="str">
        <f t="shared" si="7"/>
        <v>John Moseley</v>
      </c>
      <c r="D213" s="5" t="s">
        <v>428</v>
      </c>
      <c r="E213" s="5" t="s">
        <v>1163</v>
      </c>
      <c r="F213" s="5" t="s">
        <v>478</v>
      </c>
      <c r="G213" s="5" t="s">
        <v>219</v>
      </c>
      <c r="H213" s="5" t="s">
        <v>1164</v>
      </c>
      <c r="I213" s="5" t="s">
        <v>1164</v>
      </c>
      <c r="J213" s="25" t="s">
        <v>1488</v>
      </c>
      <c r="K213" s="5" t="s">
        <v>18</v>
      </c>
      <c r="L213" s="51">
        <v>46001</v>
      </c>
      <c r="N213" s="89">
        <v>5</v>
      </c>
      <c r="O213" s="52">
        <v>5</v>
      </c>
      <c r="P213" s="52"/>
      <c r="Q213" s="24">
        <v>212</v>
      </c>
      <c r="R213" s="5"/>
      <c r="S213" s="51">
        <v>46366</v>
      </c>
      <c r="T213" s="201" t="s">
        <v>1495</v>
      </c>
      <c r="U213" s="16" t="s">
        <v>1497</v>
      </c>
    </row>
    <row r="214" spans="1:21" s="176" customFormat="1" ht="18.75" customHeight="1">
      <c r="A214" s="171">
        <f t="shared" si="6"/>
        <v>213</v>
      </c>
      <c r="B214" s="172">
        <v>45927</v>
      </c>
      <c r="C214" s="173" t="str">
        <f t="shared" si="7"/>
        <v>Keith Claxton</v>
      </c>
      <c r="D214" s="173" t="s">
        <v>1107</v>
      </c>
      <c r="E214" s="173" t="s">
        <v>611</v>
      </c>
      <c r="F214" s="173" t="s">
        <v>1165</v>
      </c>
      <c r="G214" s="173" t="s">
        <v>486</v>
      </c>
      <c r="H214" s="173" t="s">
        <v>1166</v>
      </c>
      <c r="I214" s="173" t="s">
        <v>1166</v>
      </c>
      <c r="J214" s="25" t="s">
        <v>1488</v>
      </c>
      <c r="K214" s="173" t="s">
        <v>18</v>
      </c>
      <c r="L214" s="174"/>
      <c r="M214" s="174"/>
      <c r="N214" s="175"/>
      <c r="O214" s="175"/>
      <c r="P214" s="175"/>
      <c r="Q214" s="171">
        <v>213</v>
      </c>
      <c r="R214" s="173"/>
      <c r="S214" s="174"/>
      <c r="T214" s="201" t="s">
        <v>1495</v>
      </c>
      <c r="U214" s="16" t="s">
        <v>1497</v>
      </c>
    </row>
    <row r="215" spans="1:21" s="176" customFormat="1" ht="18.75" customHeight="1">
      <c r="A215" s="249">
        <f t="shared" si="6"/>
        <v>214</v>
      </c>
      <c r="B215" s="250">
        <v>45927</v>
      </c>
      <c r="C215" s="251" t="str">
        <f t="shared" si="7"/>
        <v>Keith Robinson</v>
      </c>
      <c r="D215" s="251" t="s">
        <v>1107</v>
      </c>
      <c r="E215" s="251" t="s">
        <v>422</v>
      </c>
      <c r="F215" s="251" t="s">
        <v>423</v>
      </c>
      <c r="G215" s="251" t="s">
        <v>564</v>
      </c>
      <c r="H215" s="202" t="s">
        <v>1167</v>
      </c>
      <c r="I215" s="202" t="s">
        <v>1167</v>
      </c>
      <c r="J215" s="25" t="s">
        <v>1488</v>
      </c>
      <c r="K215" s="251" t="s">
        <v>14</v>
      </c>
      <c r="L215" s="252">
        <v>45987</v>
      </c>
      <c r="M215" s="252"/>
      <c r="N215" s="253"/>
      <c r="O215" s="254"/>
      <c r="P215" s="254"/>
      <c r="Q215" s="249">
        <v>214</v>
      </c>
      <c r="R215" s="5" t="s">
        <v>1168</v>
      </c>
      <c r="S215" s="252"/>
      <c r="T215" s="201" t="s">
        <v>1495</v>
      </c>
      <c r="U215" s="16" t="s">
        <v>1497</v>
      </c>
    </row>
    <row r="216" spans="1:21" ht="18.75" customHeight="1">
      <c r="A216" s="171">
        <f t="shared" si="6"/>
        <v>215</v>
      </c>
      <c r="B216" s="172">
        <v>45927</v>
      </c>
      <c r="C216" s="173" t="str">
        <f t="shared" si="7"/>
        <v>Kevin Swinburn</v>
      </c>
      <c r="D216" s="173" t="s">
        <v>1169</v>
      </c>
      <c r="E216" s="173" t="s">
        <v>1170</v>
      </c>
      <c r="F216" s="173" t="s">
        <v>1171</v>
      </c>
      <c r="G216" s="173" t="s">
        <v>1172</v>
      </c>
      <c r="H216" s="173" t="s">
        <v>1173</v>
      </c>
      <c r="I216" s="173" t="s">
        <v>1173</v>
      </c>
      <c r="J216" s="25" t="s">
        <v>1488</v>
      </c>
      <c r="K216" s="173" t="s">
        <v>18</v>
      </c>
      <c r="L216" s="174"/>
      <c r="M216" s="174"/>
      <c r="N216" s="175"/>
      <c r="O216" s="175"/>
      <c r="P216" s="175"/>
      <c r="Q216" s="171">
        <v>215</v>
      </c>
      <c r="R216" s="173"/>
      <c r="S216" s="174"/>
      <c r="T216" s="201" t="s">
        <v>1495</v>
      </c>
      <c r="U216" s="16" t="s">
        <v>1497</v>
      </c>
    </row>
    <row r="217" spans="1:21" ht="18.75" customHeight="1">
      <c r="A217" s="171">
        <f t="shared" si="6"/>
        <v>216</v>
      </c>
      <c r="B217" s="172">
        <v>45927</v>
      </c>
      <c r="C217" s="173" t="str">
        <f t="shared" si="7"/>
        <v>Laura Johnson</v>
      </c>
      <c r="D217" s="173" t="s">
        <v>855</v>
      </c>
      <c r="E217" s="173" t="s">
        <v>621</v>
      </c>
      <c r="F217" s="173" t="s">
        <v>1174</v>
      </c>
      <c r="G217" s="173" t="s">
        <v>1175</v>
      </c>
      <c r="H217" s="173" t="s">
        <v>1176</v>
      </c>
      <c r="I217" s="173" t="s">
        <v>1176</v>
      </c>
      <c r="J217" s="25" t="s">
        <v>1488</v>
      </c>
      <c r="K217" s="173" t="s">
        <v>18</v>
      </c>
      <c r="L217" s="174"/>
      <c r="M217" s="174"/>
      <c r="N217" s="175"/>
      <c r="O217" s="175"/>
      <c r="P217" s="175"/>
      <c r="Q217" s="171">
        <v>216</v>
      </c>
      <c r="R217" s="173"/>
      <c r="S217" s="174"/>
      <c r="T217" s="201" t="s">
        <v>1495</v>
      </c>
      <c r="U217" s="16" t="s">
        <v>1497</v>
      </c>
    </row>
    <row r="218" spans="1:21" s="201" customFormat="1" ht="18.75" customHeight="1">
      <c r="A218" s="24">
        <f t="shared" si="6"/>
        <v>217</v>
      </c>
      <c r="B218" s="115">
        <v>45927</v>
      </c>
      <c r="C218" s="5" t="str">
        <f t="shared" si="7"/>
        <v>Linda Levett</v>
      </c>
      <c r="D218" s="5" t="s">
        <v>550</v>
      </c>
      <c r="E218" s="5" t="s">
        <v>1177</v>
      </c>
      <c r="F218" s="5" t="s">
        <v>1178</v>
      </c>
      <c r="G218" s="5" t="s">
        <v>1179</v>
      </c>
      <c r="H218" s="7" t="s">
        <v>1180</v>
      </c>
      <c r="I218" s="7" t="s">
        <v>1180</v>
      </c>
      <c r="J218" s="25" t="s">
        <v>1488</v>
      </c>
      <c r="K218" s="5" t="s">
        <v>18</v>
      </c>
      <c r="L218" s="51">
        <v>45934</v>
      </c>
      <c r="M218" s="51"/>
      <c r="N218" s="52">
        <v>5</v>
      </c>
      <c r="O218" s="52"/>
      <c r="P218" s="52"/>
      <c r="Q218" s="24">
        <v>217</v>
      </c>
      <c r="R218" s="5"/>
      <c r="S218" s="51">
        <v>46299</v>
      </c>
      <c r="T218" s="201" t="s">
        <v>1495</v>
      </c>
      <c r="U218" s="16" t="s">
        <v>1497</v>
      </c>
    </row>
    <row r="219" spans="1:21" ht="18.75" customHeight="1">
      <c r="A219" s="24">
        <f t="shared" si="6"/>
        <v>218</v>
      </c>
      <c r="B219" s="115">
        <v>45927</v>
      </c>
      <c r="C219" s="5" t="str">
        <f t="shared" si="7"/>
        <v>Lola Guisado</v>
      </c>
      <c r="D219" s="5" t="s">
        <v>1181</v>
      </c>
      <c r="E219" s="5" t="s">
        <v>1182</v>
      </c>
      <c r="F219" s="5" t="s">
        <v>1183</v>
      </c>
      <c r="G219" s="5" t="s">
        <v>1093</v>
      </c>
      <c r="H219" s="5" t="s">
        <v>1184</v>
      </c>
      <c r="I219" s="5" t="s">
        <v>1184</v>
      </c>
      <c r="J219" s="25" t="s">
        <v>1488</v>
      </c>
      <c r="K219" s="5" t="s">
        <v>18</v>
      </c>
      <c r="L219" s="51">
        <v>46001</v>
      </c>
      <c r="M219" s="51"/>
      <c r="N219" s="52">
        <v>5</v>
      </c>
      <c r="O219" s="52"/>
      <c r="P219" s="52"/>
      <c r="Q219" s="24">
        <v>218</v>
      </c>
      <c r="R219" s="5"/>
      <c r="S219" s="51">
        <v>46366</v>
      </c>
      <c r="T219" s="201" t="s">
        <v>1495</v>
      </c>
      <c r="U219" s="16" t="s">
        <v>1497</v>
      </c>
    </row>
    <row r="220" spans="1:21" s="176" customFormat="1" ht="18.75" customHeight="1">
      <c r="A220" s="24">
        <f t="shared" si="6"/>
        <v>219</v>
      </c>
      <c r="B220" s="115">
        <v>45927</v>
      </c>
      <c r="C220" s="5" t="str">
        <f t="shared" si="7"/>
        <v>Martin Jackson</v>
      </c>
      <c r="D220" s="19" t="s">
        <v>1110</v>
      </c>
      <c r="E220" s="19" t="s">
        <v>1185</v>
      </c>
      <c r="F220" s="5" t="s">
        <v>142</v>
      </c>
      <c r="G220" s="5" t="s">
        <v>1186</v>
      </c>
      <c r="H220" s="5" t="s">
        <v>1187</v>
      </c>
      <c r="I220" s="5" t="s">
        <v>1187</v>
      </c>
      <c r="J220" s="25" t="s">
        <v>1488</v>
      </c>
      <c r="K220" s="5" t="s">
        <v>19</v>
      </c>
      <c r="L220" s="51">
        <v>45927</v>
      </c>
      <c r="M220" s="51"/>
      <c r="N220" s="52">
        <v>5</v>
      </c>
      <c r="O220" s="52"/>
      <c r="P220" s="52"/>
      <c r="Q220" s="24">
        <v>219</v>
      </c>
      <c r="R220" s="5" t="s">
        <v>1188</v>
      </c>
      <c r="S220" s="51">
        <v>46292</v>
      </c>
      <c r="T220" s="201" t="s">
        <v>1495</v>
      </c>
      <c r="U220" s="16" t="s">
        <v>1497</v>
      </c>
    </row>
    <row r="221" spans="1:21" s="201" customFormat="1" ht="18.75" customHeight="1">
      <c r="A221" s="171">
        <f t="shared" si="6"/>
        <v>220</v>
      </c>
      <c r="B221" s="172">
        <v>45927</v>
      </c>
      <c r="C221" s="173" t="str">
        <f t="shared" si="7"/>
        <v>Patricia Anderson</v>
      </c>
      <c r="D221" s="173" t="s">
        <v>572</v>
      </c>
      <c r="E221" s="173" t="s">
        <v>1189</v>
      </c>
      <c r="F221" s="173" t="s">
        <v>1190</v>
      </c>
      <c r="G221" s="173" t="s">
        <v>1191</v>
      </c>
      <c r="H221" s="173" t="s">
        <v>1192</v>
      </c>
      <c r="I221" s="173" t="s">
        <v>1192</v>
      </c>
      <c r="J221" s="25" t="s">
        <v>1488</v>
      </c>
      <c r="K221" s="173" t="s">
        <v>18</v>
      </c>
      <c r="L221" s="174"/>
      <c r="M221" s="174"/>
      <c r="N221" s="175"/>
      <c r="O221" s="175"/>
      <c r="P221" s="175"/>
      <c r="Q221" s="171">
        <v>220</v>
      </c>
      <c r="R221" s="173"/>
      <c r="S221" s="174"/>
      <c r="T221" s="201" t="s">
        <v>1495</v>
      </c>
      <c r="U221" s="16" t="s">
        <v>1497</v>
      </c>
    </row>
    <row r="222" spans="1:21" s="176" customFormat="1" ht="18.75" customHeight="1">
      <c r="A222" s="197">
        <f t="shared" si="6"/>
        <v>221</v>
      </c>
      <c r="B222" s="198">
        <v>45927</v>
      </c>
      <c r="C222" s="19" t="str">
        <f t="shared" si="7"/>
        <v>Paula Wherlock</v>
      </c>
      <c r="D222" s="19" t="s">
        <v>1193</v>
      </c>
      <c r="E222" s="19" t="s">
        <v>598</v>
      </c>
      <c r="F222" s="19" t="s">
        <v>599</v>
      </c>
      <c r="G222" s="19" t="s">
        <v>600</v>
      </c>
      <c r="H222" s="19" t="s">
        <v>1194</v>
      </c>
      <c r="I222" s="19" t="s">
        <v>1194</v>
      </c>
      <c r="J222" s="25" t="s">
        <v>1488</v>
      </c>
      <c r="K222" s="19" t="s">
        <v>18</v>
      </c>
      <c r="L222" s="199">
        <v>45987</v>
      </c>
      <c r="M222" s="199"/>
      <c r="N222" s="200"/>
      <c r="O222" s="200"/>
      <c r="P222" s="200"/>
      <c r="Q222" s="197">
        <v>221</v>
      </c>
      <c r="R222" s="19" t="s">
        <v>1195</v>
      </c>
      <c r="S222" s="199">
        <v>46352</v>
      </c>
      <c r="T222" s="201" t="s">
        <v>1495</v>
      </c>
      <c r="U222" s="16" t="s">
        <v>1497</v>
      </c>
    </row>
    <row r="223" spans="1:21" s="176" customFormat="1" ht="18.75" customHeight="1">
      <c r="A223" s="171">
        <f t="shared" si="6"/>
        <v>222</v>
      </c>
      <c r="B223" s="172">
        <v>45927</v>
      </c>
      <c r="C223" s="173" t="str">
        <f t="shared" si="7"/>
        <v>Pete Robins</v>
      </c>
      <c r="D223" s="173" t="s">
        <v>1196</v>
      </c>
      <c r="E223" s="173" t="s">
        <v>762</v>
      </c>
      <c r="F223" s="173" t="s">
        <v>1197</v>
      </c>
      <c r="G223" s="173" t="s">
        <v>1198</v>
      </c>
      <c r="H223" s="173" t="s">
        <v>1199</v>
      </c>
      <c r="I223" s="173" t="s">
        <v>1199</v>
      </c>
      <c r="J223" s="25" t="s">
        <v>1488</v>
      </c>
      <c r="K223" s="173" t="s">
        <v>18</v>
      </c>
      <c r="L223" s="174"/>
      <c r="M223" s="174"/>
      <c r="N223" s="175"/>
      <c r="O223" s="175"/>
      <c r="P223" s="175"/>
      <c r="Q223" s="171">
        <v>222</v>
      </c>
      <c r="R223" s="173"/>
      <c r="S223" s="174"/>
      <c r="T223" s="201" t="s">
        <v>1495</v>
      </c>
      <c r="U223" s="16" t="s">
        <v>1497</v>
      </c>
    </row>
    <row r="224" spans="1:21" s="176" customFormat="1" ht="18.75" customHeight="1">
      <c r="A224" s="171">
        <f t="shared" si="6"/>
        <v>223</v>
      </c>
      <c r="B224" s="172">
        <v>45927</v>
      </c>
      <c r="C224" s="173" t="str">
        <f t="shared" si="7"/>
        <v>Rachel Castell</v>
      </c>
      <c r="D224" s="173" t="s">
        <v>1200</v>
      </c>
      <c r="E224" s="173" t="s">
        <v>1201</v>
      </c>
      <c r="F224" s="173" t="s">
        <v>1202</v>
      </c>
      <c r="G224" s="173" t="s">
        <v>1203</v>
      </c>
      <c r="H224" s="173" t="s">
        <v>1204</v>
      </c>
      <c r="I224" s="173" t="s">
        <v>1204</v>
      </c>
      <c r="J224" s="25" t="s">
        <v>1488</v>
      </c>
      <c r="K224" s="173" t="s">
        <v>18</v>
      </c>
      <c r="L224" s="174"/>
      <c r="M224" s="174"/>
      <c r="N224" s="175"/>
      <c r="O224" s="175"/>
      <c r="P224" s="175"/>
      <c r="Q224" s="171">
        <v>223</v>
      </c>
      <c r="R224" s="173"/>
      <c r="S224" s="174"/>
      <c r="T224" s="201" t="s">
        <v>1495</v>
      </c>
      <c r="U224" s="16" t="s">
        <v>1497</v>
      </c>
    </row>
    <row r="225" spans="1:21" s="176" customFormat="1" ht="18.75" customHeight="1">
      <c r="A225" s="171">
        <f t="shared" si="6"/>
        <v>224</v>
      </c>
      <c r="B225" s="172">
        <v>45927</v>
      </c>
      <c r="C225" s="173" t="str">
        <f t="shared" si="7"/>
        <v>Roger Marchant</v>
      </c>
      <c r="D225" s="173" t="s">
        <v>1205</v>
      </c>
      <c r="E225" s="173" t="s">
        <v>1206</v>
      </c>
      <c r="F225" s="173" t="s">
        <v>1207</v>
      </c>
      <c r="G225" s="173" t="s">
        <v>1208</v>
      </c>
      <c r="H225" s="173" t="s">
        <v>1209</v>
      </c>
      <c r="I225" s="173" t="s">
        <v>1209</v>
      </c>
      <c r="J225" s="25" t="s">
        <v>1488</v>
      </c>
      <c r="K225" s="173" t="s">
        <v>18</v>
      </c>
      <c r="L225" s="174"/>
      <c r="M225" s="174"/>
      <c r="N225" s="175"/>
      <c r="O225" s="175"/>
      <c r="P225" s="175"/>
      <c r="Q225" s="171">
        <v>224</v>
      </c>
      <c r="R225" s="173"/>
      <c r="S225" s="174"/>
      <c r="T225" s="201" t="s">
        <v>1495</v>
      </c>
      <c r="U225" s="16" t="s">
        <v>1497</v>
      </c>
    </row>
    <row r="226" spans="1:21" s="201" customFormat="1" ht="18.75" customHeight="1">
      <c r="A226" s="171">
        <f t="shared" si="6"/>
        <v>225</v>
      </c>
      <c r="B226" s="172">
        <v>45927</v>
      </c>
      <c r="C226" s="173" t="str">
        <f t="shared" si="7"/>
        <v>Sarah  Gummer</v>
      </c>
      <c r="D226" s="173" t="s">
        <v>1210</v>
      </c>
      <c r="E226" s="173" t="s">
        <v>1211</v>
      </c>
      <c r="F226" s="173" t="s">
        <v>1123</v>
      </c>
      <c r="G226" s="173" t="s">
        <v>1124</v>
      </c>
      <c r="H226" s="173" t="s">
        <v>1212</v>
      </c>
      <c r="I226" s="173" t="s">
        <v>1212</v>
      </c>
      <c r="J226" s="25" t="s">
        <v>1488</v>
      </c>
      <c r="K226" s="173" t="s">
        <v>18</v>
      </c>
      <c r="L226" s="174"/>
      <c r="M226" s="174"/>
      <c r="N226" s="175"/>
      <c r="O226" s="175"/>
      <c r="P226" s="175"/>
      <c r="Q226" s="171">
        <v>225</v>
      </c>
      <c r="R226" s="173"/>
      <c r="S226" s="174"/>
      <c r="T226" s="201" t="s">
        <v>1495</v>
      </c>
      <c r="U226" s="16" t="s">
        <v>1497</v>
      </c>
    </row>
    <row r="227" spans="1:21" ht="18.75" customHeight="1">
      <c r="A227" s="197">
        <f t="shared" si="6"/>
        <v>226</v>
      </c>
      <c r="B227" s="198">
        <v>45927</v>
      </c>
      <c r="C227" s="19" t="str">
        <f t="shared" si="7"/>
        <v>Sarah  Rolfe</v>
      </c>
      <c r="D227" s="19" t="s">
        <v>1210</v>
      </c>
      <c r="E227" s="19" t="s">
        <v>1213</v>
      </c>
      <c r="F227" s="19" t="s">
        <v>1214</v>
      </c>
      <c r="G227" s="19" t="s">
        <v>1215</v>
      </c>
      <c r="H227" s="230" t="s">
        <v>1216</v>
      </c>
      <c r="I227" s="230" t="s">
        <v>1216</v>
      </c>
      <c r="J227" s="25" t="s">
        <v>1488</v>
      </c>
      <c r="K227" s="19" t="s">
        <v>18</v>
      </c>
      <c r="L227" s="199">
        <v>46029</v>
      </c>
      <c r="M227" s="199"/>
      <c r="N227" s="200">
        <v>5</v>
      </c>
      <c r="O227" s="200"/>
      <c r="P227" s="200"/>
      <c r="Q227" s="197">
        <v>226</v>
      </c>
      <c r="R227" s="19"/>
      <c r="S227" s="199">
        <v>46394</v>
      </c>
      <c r="T227" s="201" t="s">
        <v>1495</v>
      </c>
      <c r="U227" s="16" t="s">
        <v>1497</v>
      </c>
    </row>
    <row r="228" spans="1:21" ht="18.75" customHeight="1">
      <c r="A228" s="24">
        <f t="shared" si="6"/>
        <v>228</v>
      </c>
      <c r="B228" s="115">
        <v>45927</v>
      </c>
      <c r="C228" s="5" t="str">
        <f t="shared" si="7"/>
        <v>Stacy Rielly</v>
      </c>
      <c r="D228" s="5" t="s">
        <v>1217</v>
      </c>
      <c r="E228" s="5" t="s">
        <v>1218</v>
      </c>
      <c r="F228" s="5" t="s">
        <v>782</v>
      </c>
      <c r="G228" s="5" t="s">
        <v>1219</v>
      </c>
      <c r="H228" s="99" t="s">
        <v>1220</v>
      </c>
      <c r="I228" s="99" t="s">
        <v>1220</v>
      </c>
      <c r="J228" s="25" t="s">
        <v>1488</v>
      </c>
      <c r="K228" s="5" t="s">
        <v>18</v>
      </c>
      <c r="L228" s="51">
        <v>45927</v>
      </c>
      <c r="M228" s="51"/>
      <c r="N228" s="52"/>
      <c r="O228" s="52"/>
      <c r="P228" s="52"/>
      <c r="Q228" s="24">
        <v>228</v>
      </c>
      <c r="R228" s="5"/>
      <c r="S228" s="51">
        <v>46292</v>
      </c>
      <c r="T228" s="201" t="s">
        <v>1495</v>
      </c>
      <c r="U228" s="16" t="s">
        <v>1497</v>
      </c>
    </row>
    <row r="229" spans="1:21" ht="18.75" customHeight="1">
      <c r="A229" s="24">
        <f t="shared" si="6"/>
        <v>229</v>
      </c>
      <c r="B229" s="115">
        <v>45927</v>
      </c>
      <c r="C229" s="5" t="str">
        <f t="shared" si="7"/>
        <v>Stella  Smith</v>
      </c>
      <c r="D229" s="5" t="s">
        <v>652</v>
      </c>
      <c r="E229" s="5" t="s">
        <v>715</v>
      </c>
      <c r="F229" s="5" t="s">
        <v>478</v>
      </c>
      <c r="G229" s="5" t="s">
        <v>219</v>
      </c>
      <c r="H229" s="5" t="s">
        <v>1221</v>
      </c>
      <c r="I229" s="5" t="s">
        <v>1221</v>
      </c>
      <c r="J229" s="25" t="s">
        <v>1488</v>
      </c>
      <c r="K229" s="5" t="s">
        <v>18</v>
      </c>
      <c r="L229" s="51">
        <v>46001</v>
      </c>
      <c r="M229" s="51"/>
      <c r="N229" s="52">
        <v>5</v>
      </c>
      <c r="O229" s="52"/>
      <c r="P229" s="52"/>
      <c r="Q229" s="24">
        <v>229</v>
      </c>
      <c r="R229" s="5"/>
      <c r="S229" s="51">
        <v>46366</v>
      </c>
      <c r="T229" s="201" t="s">
        <v>1495</v>
      </c>
      <c r="U229" s="16" t="s">
        <v>1497</v>
      </c>
    </row>
    <row r="230" spans="1:21" ht="18.75" customHeight="1">
      <c r="A230" s="24">
        <f t="shared" si="6"/>
        <v>230</v>
      </c>
      <c r="B230" s="115">
        <v>45927</v>
      </c>
      <c r="C230" s="5" t="str">
        <f t="shared" si="7"/>
        <v>Sue  Kirby</v>
      </c>
      <c r="D230" s="5" t="s">
        <v>1222</v>
      </c>
      <c r="E230" s="5" t="s">
        <v>1145</v>
      </c>
      <c r="F230" s="5" t="s">
        <v>1146</v>
      </c>
      <c r="G230" s="5" t="s">
        <v>1147</v>
      </c>
      <c r="H230" s="5" t="s">
        <v>1223</v>
      </c>
      <c r="I230" s="5" t="s">
        <v>1223</v>
      </c>
      <c r="J230" s="25" t="s">
        <v>1488</v>
      </c>
      <c r="K230" s="5" t="s">
        <v>18</v>
      </c>
      <c r="L230" s="51">
        <v>45916</v>
      </c>
      <c r="M230" s="51"/>
      <c r="N230" s="52">
        <v>5</v>
      </c>
      <c r="O230" s="52"/>
      <c r="P230" s="52"/>
      <c r="Q230" s="197">
        <v>230</v>
      </c>
      <c r="R230" s="5"/>
      <c r="S230" s="51">
        <v>46281</v>
      </c>
      <c r="T230" s="201" t="s">
        <v>1495</v>
      </c>
      <c r="U230" s="16" t="s">
        <v>1497</v>
      </c>
    </row>
    <row r="231" spans="1:21" s="176" customFormat="1" ht="18.75" customHeight="1">
      <c r="A231" s="24">
        <f t="shared" si="6"/>
        <v>231</v>
      </c>
      <c r="B231" s="115">
        <v>45929</v>
      </c>
      <c r="C231" s="5" t="str">
        <f t="shared" si="7"/>
        <v>Craig Hatton</v>
      </c>
      <c r="D231" s="5" t="s">
        <v>1224</v>
      </c>
      <c r="E231" s="5" t="s">
        <v>1225</v>
      </c>
      <c r="F231" s="5" t="s">
        <v>1226</v>
      </c>
      <c r="G231" s="5" t="s">
        <v>1227</v>
      </c>
      <c r="H231" s="5" t="s">
        <v>1228</v>
      </c>
      <c r="I231" s="5" t="s">
        <v>1228</v>
      </c>
      <c r="J231" s="25" t="s">
        <v>1488</v>
      </c>
      <c r="K231" s="173" t="s">
        <v>1491</v>
      </c>
      <c r="L231" s="51">
        <v>46003</v>
      </c>
      <c r="M231" s="51"/>
      <c r="N231" s="52">
        <v>5</v>
      </c>
      <c r="O231" s="52">
        <v>5</v>
      </c>
      <c r="P231" s="52"/>
      <c r="Q231" s="197">
        <v>231</v>
      </c>
      <c r="R231" s="5"/>
      <c r="S231" s="51">
        <v>46368</v>
      </c>
      <c r="T231" s="201" t="s">
        <v>1495</v>
      </c>
      <c r="U231" s="16" t="s">
        <v>1497</v>
      </c>
    </row>
    <row r="232" spans="1:21" ht="18.75" customHeight="1">
      <c r="A232" s="171">
        <f t="shared" si="6"/>
        <v>232.12727272727301</v>
      </c>
      <c r="B232" s="172">
        <v>45930</v>
      </c>
      <c r="C232" s="173" t="str">
        <f t="shared" si="7"/>
        <v>Dan O’Sullivan</v>
      </c>
      <c r="D232" s="173" t="s">
        <v>1229</v>
      </c>
      <c r="E232" s="173" t="s">
        <v>1230</v>
      </c>
      <c r="F232" s="173" t="s">
        <v>1231</v>
      </c>
      <c r="G232" s="173" t="s">
        <v>1232</v>
      </c>
      <c r="H232" s="173" t="s">
        <v>1233</v>
      </c>
      <c r="I232" s="173" t="s">
        <v>1233</v>
      </c>
      <c r="J232" s="25" t="s">
        <v>1488</v>
      </c>
      <c r="K232" s="173" t="s">
        <v>11</v>
      </c>
      <c r="L232" s="174"/>
      <c r="M232" s="174"/>
      <c r="N232" s="175"/>
      <c r="O232" s="175"/>
      <c r="P232" s="175"/>
      <c r="Q232" s="171">
        <v>232.12727272727301</v>
      </c>
      <c r="R232" s="173"/>
      <c r="S232" s="174"/>
      <c r="T232" s="201" t="s">
        <v>1495</v>
      </c>
      <c r="U232" s="16" t="s">
        <v>1497</v>
      </c>
    </row>
    <row r="233" spans="1:21" s="176" customFormat="1" ht="18.75" customHeight="1">
      <c r="A233" s="24">
        <f t="shared" si="6"/>
        <v>233.254545454545</v>
      </c>
      <c r="B233" s="115">
        <v>45930</v>
      </c>
      <c r="C233" s="5" t="str">
        <f t="shared" si="7"/>
        <v>Jean Stemp</v>
      </c>
      <c r="D233" s="5" t="s">
        <v>1234</v>
      </c>
      <c r="E233" s="5" t="s">
        <v>1235</v>
      </c>
      <c r="F233" s="5" t="s">
        <v>362</v>
      </c>
      <c r="G233" s="5" t="s">
        <v>1236</v>
      </c>
      <c r="H233" s="5" t="s">
        <v>1237</v>
      </c>
      <c r="I233" s="5" t="s">
        <v>1237</v>
      </c>
      <c r="J233" s="25" t="s">
        <v>1488</v>
      </c>
      <c r="K233" s="173" t="s">
        <v>11</v>
      </c>
      <c r="L233" s="51">
        <v>46003</v>
      </c>
      <c r="M233" s="51"/>
      <c r="N233" s="52">
        <v>5</v>
      </c>
      <c r="O233" s="52"/>
      <c r="P233" s="52"/>
      <c r="Q233" s="197">
        <v>233.254545454545</v>
      </c>
      <c r="R233" s="5"/>
      <c r="S233" s="51">
        <v>46368</v>
      </c>
      <c r="T233" s="201" t="s">
        <v>1495</v>
      </c>
      <c r="U233" s="16" t="s">
        <v>1497</v>
      </c>
    </row>
    <row r="234" spans="1:21" s="177" customFormat="1" ht="18.75" customHeight="1">
      <c r="A234" s="171">
        <f t="shared" si="6"/>
        <v>234.38181818181801</v>
      </c>
      <c r="B234" s="172">
        <v>45930</v>
      </c>
      <c r="C234" s="173" t="str">
        <f t="shared" si="7"/>
        <v>Kelly Rose Bradford</v>
      </c>
      <c r="D234" s="173" t="s">
        <v>1238</v>
      </c>
      <c r="E234" s="173" t="s">
        <v>1239</v>
      </c>
      <c r="F234" s="173" t="s">
        <v>142</v>
      </c>
      <c r="G234" s="173" t="s">
        <v>430</v>
      </c>
      <c r="H234" s="173" t="s">
        <v>1240</v>
      </c>
      <c r="I234" s="173" t="s">
        <v>1240</v>
      </c>
      <c r="J234" s="25" t="s">
        <v>1488</v>
      </c>
      <c r="K234" s="173" t="s">
        <v>1491</v>
      </c>
      <c r="L234" s="174"/>
      <c r="M234" s="174"/>
      <c r="N234" s="175"/>
      <c r="O234" s="175"/>
      <c r="P234" s="175"/>
      <c r="Q234" s="171">
        <v>234.38181818181801</v>
      </c>
      <c r="R234" s="173"/>
      <c r="S234" s="174"/>
      <c r="T234" s="201" t="s">
        <v>1495</v>
      </c>
      <c r="U234" s="16" t="s">
        <v>1497</v>
      </c>
    </row>
    <row r="235" spans="1:21" s="177" customFormat="1" ht="18.75" customHeight="1">
      <c r="A235" s="171">
        <f t="shared" si="6"/>
        <v>235.50909090909099</v>
      </c>
      <c r="B235" s="172">
        <v>45930</v>
      </c>
      <c r="C235" s="173" t="str">
        <f t="shared" si="7"/>
        <v>Sue Brockwell</v>
      </c>
      <c r="D235" s="173" t="s">
        <v>610</v>
      </c>
      <c r="E235" s="173" t="s">
        <v>1241</v>
      </c>
      <c r="F235" s="173"/>
      <c r="G235" s="173"/>
      <c r="H235" s="173" t="s">
        <v>1242</v>
      </c>
      <c r="I235" s="173" t="s">
        <v>1242</v>
      </c>
      <c r="J235" s="25" t="s">
        <v>1488</v>
      </c>
      <c r="K235" s="173" t="s">
        <v>1491</v>
      </c>
      <c r="L235" s="174"/>
      <c r="M235" s="174"/>
      <c r="N235" s="175"/>
      <c r="O235" s="175"/>
      <c r="P235" s="175"/>
      <c r="Q235" s="171">
        <v>235.50909090909099</v>
      </c>
      <c r="R235" s="173"/>
      <c r="S235" s="174"/>
      <c r="T235" s="201" t="s">
        <v>1495</v>
      </c>
      <c r="U235" s="16" t="s">
        <v>1497</v>
      </c>
    </row>
    <row r="236" spans="1:21" s="176" customFormat="1" ht="18.75" customHeight="1">
      <c r="A236" s="171">
        <f t="shared" si="6"/>
        <v>236.636363636364</v>
      </c>
      <c r="B236" s="172">
        <v>45931</v>
      </c>
      <c r="C236" s="173" t="str">
        <f t="shared" si="7"/>
        <v>Alev Garner</v>
      </c>
      <c r="D236" s="173" t="s">
        <v>1243</v>
      </c>
      <c r="E236" s="173" t="s">
        <v>1244</v>
      </c>
      <c r="F236" s="173" t="s">
        <v>1245</v>
      </c>
      <c r="G236" s="173" t="s">
        <v>605</v>
      </c>
      <c r="H236" s="173" t="s">
        <v>1246</v>
      </c>
      <c r="I236" s="173" t="s">
        <v>1246</v>
      </c>
      <c r="J236" s="25" t="s">
        <v>1488</v>
      </c>
      <c r="K236" s="173" t="s">
        <v>19</v>
      </c>
      <c r="L236" s="174"/>
      <c r="M236" s="174"/>
      <c r="N236" s="175"/>
      <c r="O236" s="175"/>
      <c r="P236" s="175"/>
      <c r="Q236" s="171">
        <v>236.636363636364</v>
      </c>
      <c r="R236" s="173"/>
      <c r="S236" s="174"/>
      <c r="T236" s="201" t="s">
        <v>1495</v>
      </c>
      <c r="U236" s="16" t="s">
        <v>1497</v>
      </c>
    </row>
    <row r="237" spans="1:21" ht="18.75" customHeight="1">
      <c r="A237" s="171">
        <f t="shared" si="6"/>
        <v>237.76363636363601</v>
      </c>
      <c r="B237" s="172">
        <v>45931</v>
      </c>
      <c r="C237" s="173" t="str">
        <f t="shared" si="7"/>
        <v>Nikki Massey</v>
      </c>
      <c r="D237" s="173" t="s">
        <v>1247</v>
      </c>
      <c r="E237" s="173" t="s">
        <v>1248</v>
      </c>
      <c r="F237" s="173" t="s">
        <v>1249</v>
      </c>
      <c r="G237" s="173" t="s">
        <v>1250</v>
      </c>
      <c r="H237" s="173" t="s">
        <v>1251</v>
      </c>
      <c r="I237" s="173" t="s">
        <v>1251</v>
      </c>
      <c r="J237" s="25" t="s">
        <v>1488</v>
      </c>
      <c r="K237" s="173" t="s">
        <v>11</v>
      </c>
      <c r="L237" s="174"/>
      <c r="M237" s="174"/>
      <c r="N237" s="175"/>
      <c r="O237" s="175"/>
      <c r="P237" s="175"/>
      <c r="Q237" s="171">
        <v>237.76363636363601</v>
      </c>
      <c r="R237" s="173"/>
      <c r="S237" s="174"/>
      <c r="T237" s="201" t="s">
        <v>1495</v>
      </c>
      <c r="U237" s="16" t="s">
        <v>1497</v>
      </c>
    </row>
    <row r="238" spans="1:21" s="8" customFormat="1" ht="18.75" customHeight="1">
      <c r="A238" s="24">
        <f t="shared" si="6"/>
        <v>238.89090909090899</v>
      </c>
      <c r="B238" s="115">
        <v>45931</v>
      </c>
      <c r="C238" s="5" t="str">
        <f t="shared" si="7"/>
        <v>Panagiota Mavrigiannaki</v>
      </c>
      <c r="D238" s="5" t="s">
        <v>1252</v>
      </c>
      <c r="E238" s="5" t="s">
        <v>1253</v>
      </c>
      <c r="F238" s="5" t="s">
        <v>1254</v>
      </c>
      <c r="G238" s="5" t="s">
        <v>271</v>
      </c>
      <c r="H238" s="99" t="s">
        <v>266</v>
      </c>
      <c r="I238" s="99" t="s">
        <v>266</v>
      </c>
      <c r="J238" s="25" t="s">
        <v>1488</v>
      </c>
      <c r="K238" s="5" t="s">
        <v>19</v>
      </c>
      <c r="L238" s="51">
        <v>45931</v>
      </c>
      <c r="M238" s="51"/>
      <c r="N238" s="52">
        <v>10</v>
      </c>
      <c r="O238" s="52"/>
      <c r="P238" s="52"/>
      <c r="Q238" s="197">
        <v>238.89090909090899</v>
      </c>
      <c r="R238" s="157" t="s">
        <v>1255</v>
      </c>
      <c r="S238" s="51">
        <v>46296</v>
      </c>
      <c r="T238" s="201" t="s">
        <v>1495</v>
      </c>
      <c r="U238" s="16" t="s">
        <v>1497</v>
      </c>
    </row>
    <row r="239" spans="1:21" s="176" customFormat="1" ht="18.75" customHeight="1">
      <c r="A239" s="24">
        <f t="shared" si="6"/>
        <v>240.018181818182</v>
      </c>
      <c r="B239" s="115">
        <v>45931</v>
      </c>
      <c r="C239" s="5" t="str">
        <f t="shared" si="7"/>
        <v>Paul Cousens</v>
      </c>
      <c r="D239" s="5" t="s">
        <v>705</v>
      </c>
      <c r="E239" s="5" t="s">
        <v>748</v>
      </c>
      <c r="F239" s="5" t="s">
        <v>1256</v>
      </c>
      <c r="G239" s="5" t="s">
        <v>219</v>
      </c>
      <c r="H239" s="5" t="s">
        <v>215</v>
      </c>
      <c r="I239" s="5" t="s">
        <v>215</v>
      </c>
      <c r="J239" s="25" t="s">
        <v>1488</v>
      </c>
      <c r="K239" s="5" t="s">
        <v>19</v>
      </c>
      <c r="L239" s="51">
        <v>45985</v>
      </c>
      <c r="M239" s="51"/>
      <c r="N239" s="52">
        <v>5</v>
      </c>
      <c r="O239" s="52"/>
      <c r="P239" s="52"/>
      <c r="Q239" s="197">
        <v>240.018181818182</v>
      </c>
      <c r="R239" s="5" t="s">
        <v>699</v>
      </c>
      <c r="S239" s="51">
        <v>46350</v>
      </c>
      <c r="T239" s="201" t="s">
        <v>1495</v>
      </c>
      <c r="U239" s="16" t="s">
        <v>1497</v>
      </c>
    </row>
    <row r="240" spans="1:21" s="176" customFormat="1" ht="18.75" customHeight="1">
      <c r="A240" s="171">
        <f t="shared" si="6"/>
        <v>241.14545454545501</v>
      </c>
      <c r="B240" s="172">
        <v>45931</v>
      </c>
      <c r="C240" s="173" t="str">
        <f t="shared" si="7"/>
        <v>S Curls</v>
      </c>
      <c r="D240" s="173" t="s">
        <v>1257</v>
      </c>
      <c r="E240" s="173" t="s">
        <v>1258</v>
      </c>
      <c r="F240" s="173" t="s">
        <v>1226</v>
      </c>
      <c r="G240" s="173" t="s">
        <v>1227</v>
      </c>
      <c r="H240" s="173" t="s">
        <v>1259</v>
      </c>
      <c r="I240" s="173" t="s">
        <v>1259</v>
      </c>
      <c r="J240" s="25" t="s">
        <v>1488</v>
      </c>
      <c r="K240" s="173" t="s">
        <v>19</v>
      </c>
      <c r="L240" s="174"/>
      <c r="M240" s="174"/>
      <c r="N240" s="175"/>
      <c r="O240" s="175"/>
      <c r="P240" s="175"/>
      <c r="Q240" s="171">
        <v>241.14545454545501</v>
      </c>
      <c r="R240" s="173"/>
      <c r="S240" s="174"/>
      <c r="T240" s="201" t="s">
        <v>1495</v>
      </c>
      <c r="U240" s="16" t="s">
        <v>1497</v>
      </c>
    </row>
    <row r="241" spans="1:21" ht="18.75" customHeight="1">
      <c r="A241" s="171">
        <f t="shared" si="6"/>
        <v>242.272727272727</v>
      </c>
      <c r="B241" s="172">
        <v>45931</v>
      </c>
      <c r="C241" s="173" t="str">
        <f t="shared" si="7"/>
        <v>Susan  Lane</v>
      </c>
      <c r="D241" s="173" t="s">
        <v>1260</v>
      </c>
      <c r="E241" s="173" t="s">
        <v>1261</v>
      </c>
      <c r="F241" s="173" t="s">
        <v>1262</v>
      </c>
      <c r="G241" s="173" t="s">
        <v>1263</v>
      </c>
      <c r="H241" s="173" t="s">
        <v>1264</v>
      </c>
      <c r="I241" s="173" t="s">
        <v>1264</v>
      </c>
      <c r="J241" s="25" t="s">
        <v>1488</v>
      </c>
      <c r="K241" s="5" t="s">
        <v>1490</v>
      </c>
      <c r="L241" s="174"/>
      <c r="M241" s="174"/>
      <c r="N241" s="175"/>
      <c r="O241" s="175"/>
      <c r="P241" s="175"/>
      <c r="Q241" s="171">
        <v>242.272727272727</v>
      </c>
      <c r="R241" s="173"/>
      <c r="S241" s="174"/>
      <c r="T241" s="201" t="s">
        <v>1495</v>
      </c>
      <c r="U241" s="16" t="s">
        <v>1497</v>
      </c>
    </row>
    <row r="242" spans="1:21" s="176" customFormat="1" ht="18.75" customHeight="1">
      <c r="A242" s="24">
        <f t="shared" si="6"/>
        <v>243.4</v>
      </c>
      <c r="B242" s="115">
        <v>45931</v>
      </c>
      <c r="C242" s="5" t="str">
        <f t="shared" si="7"/>
        <v>Ursula Wnuk</v>
      </c>
      <c r="D242" s="5" t="s">
        <v>1265</v>
      </c>
      <c r="E242" s="5" t="s">
        <v>1266</v>
      </c>
      <c r="F242" s="5" t="s">
        <v>423</v>
      </c>
      <c r="G242" s="5" t="s">
        <v>1267</v>
      </c>
      <c r="H242" s="5" t="s">
        <v>172</v>
      </c>
      <c r="I242" s="5" t="s">
        <v>172</v>
      </c>
      <c r="J242" s="25" t="s">
        <v>1488</v>
      </c>
      <c r="K242" s="173" t="s">
        <v>11</v>
      </c>
      <c r="L242" s="51">
        <v>45984</v>
      </c>
      <c r="M242" s="51"/>
      <c r="N242" s="52">
        <v>5</v>
      </c>
      <c r="O242" s="52"/>
      <c r="P242" s="52"/>
      <c r="Q242" s="197">
        <v>243.4</v>
      </c>
      <c r="R242" s="5"/>
      <c r="S242" s="51">
        <v>46349</v>
      </c>
      <c r="T242" s="201" t="s">
        <v>1495</v>
      </c>
      <c r="U242" s="16" t="s">
        <v>1497</v>
      </c>
    </row>
    <row r="243" spans="1:21" s="176" customFormat="1" ht="18.75" customHeight="1">
      <c r="A243" s="171">
        <f t="shared" si="6"/>
        <v>244.52727272727299</v>
      </c>
      <c r="B243" s="172">
        <v>45932</v>
      </c>
      <c r="C243" s="173" t="str">
        <f t="shared" si="7"/>
        <v>Dhiren Kanojiya</v>
      </c>
      <c r="D243" s="173" t="s">
        <v>1268</v>
      </c>
      <c r="E243" s="173" t="s">
        <v>1269</v>
      </c>
      <c r="F243" s="173" t="s">
        <v>1270</v>
      </c>
      <c r="G243" s="173" t="s">
        <v>1271</v>
      </c>
      <c r="H243" s="173" t="s">
        <v>1272</v>
      </c>
      <c r="I243" s="173" t="s">
        <v>1272</v>
      </c>
      <c r="J243" s="25" t="s">
        <v>1488</v>
      </c>
      <c r="K243" s="173" t="s">
        <v>19</v>
      </c>
      <c r="L243" s="174"/>
      <c r="M243" s="174"/>
      <c r="N243" s="175"/>
      <c r="O243" s="175"/>
      <c r="P243" s="175"/>
      <c r="Q243" s="171">
        <v>244.52727272727299</v>
      </c>
      <c r="R243" s="173"/>
      <c r="S243" s="174"/>
      <c r="T243" s="201" t="s">
        <v>1495</v>
      </c>
      <c r="U243" s="16" t="s">
        <v>1497</v>
      </c>
    </row>
    <row r="244" spans="1:21" ht="18.75" customHeight="1">
      <c r="A244" s="171">
        <f t="shared" si="6"/>
        <v>245.654545454545</v>
      </c>
      <c r="B244" s="172">
        <v>45932</v>
      </c>
      <c r="C244" s="173" t="str">
        <f t="shared" si="7"/>
        <v>Sally Brown</v>
      </c>
      <c r="D244" s="173" t="s">
        <v>623</v>
      </c>
      <c r="E244" s="173" t="s">
        <v>525</v>
      </c>
      <c r="F244" s="173" t="s">
        <v>1123</v>
      </c>
      <c r="G244" s="173" t="s">
        <v>1273</v>
      </c>
      <c r="H244" s="173" t="s">
        <v>1274</v>
      </c>
      <c r="I244" s="173" t="s">
        <v>1274</v>
      </c>
      <c r="J244" s="25" t="s">
        <v>1488</v>
      </c>
      <c r="K244" s="173" t="s">
        <v>11</v>
      </c>
      <c r="L244" s="174"/>
      <c r="M244" s="174"/>
      <c r="N244" s="175"/>
      <c r="O244" s="175"/>
      <c r="P244" s="175"/>
      <c r="Q244" s="171">
        <v>245.654545454545</v>
      </c>
      <c r="R244" s="173"/>
      <c r="S244" s="174"/>
      <c r="T244" s="201" t="s">
        <v>1495</v>
      </c>
      <c r="U244" s="16" t="s">
        <v>1497</v>
      </c>
    </row>
    <row r="245" spans="1:21" s="176" customFormat="1" ht="18.75" customHeight="1">
      <c r="A245" s="24">
        <f t="shared" si="6"/>
        <v>246.78181818181801</v>
      </c>
      <c r="B245" s="115">
        <v>45934</v>
      </c>
      <c r="C245" s="5" t="str">
        <f t="shared" si="7"/>
        <v>Charlotte Pope</v>
      </c>
      <c r="D245" s="5" t="s">
        <v>1275</v>
      </c>
      <c r="E245" s="5" t="s">
        <v>1276</v>
      </c>
      <c r="F245" s="5" t="s">
        <v>1277</v>
      </c>
      <c r="G245" s="5" t="s">
        <v>1278</v>
      </c>
      <c r="H245" s="5" t="s">
        <v>1279</v>
      </c>
      <c r="I245" s="5" t="s">
        <v>1279</v>
      </c>
      <c r="J245" s="25" t="s">
        <v>1488</v>
      </c>
      <c r="K245" s="5" t="s">
        <v>19</v>
      </c>
      <c r="L245" s="51">
        <v>46001</v>
      </c>
      <c r="M245" s="51"/>
      <c r="N245" s="52"/>
      <c r="O245" s="52"/>
      <c r="P245" s="52"/>
      <c r="Q245" s="197">
        <v>246.78181818181801</v>
      </c>
      <c r="R245" s="5"/>
      <c r="S245" s="51">
        <v>46366</v>
      </c>
      <c r="T245" s="201" t="s">
        <v>1495</v>
      </c>
      <c r="U245" s="16" t="s">
        <v>1497</v>
      </c>
    </row>
    <row r="246" spans="1:21" s="176" customFormat="1" ht="18.75" customHeight="1">
      <c r="A246" s="171">
        <f t="shared" si="6"/>
        <v>247.90909090909099</v>
      </c>
      <c r="B246" s="182">
        <v>45935</v>
      </c>
      <c r="C246" s="178" t="str">
        <f t="shared" si="7"/>
        <v>Andrew Russell</v>
      </c>
      <c r="D246" s="178" t="s">
        <v>444</v>
      </c>
      <c r="E246" s="178" t="s">
        <v>617</v>
      </c>
      <c r="F246" s="178" t="s">
        <v>1280</v>
      </c>
      <c r="G246" s="178" t="s">
        <v>499</v>
      </c>
      <c r="H246" s="178" t="s">
        <v>1281</v>
      </c>
      <c r="I246" s="178" t="s">
        <v>1281</v>
      </c>
      <c r="J246" s="25" t="s">
        <v>1488</v>
      </c>
      <c r="K246" s="173" t="s">
        <v>1491</v>
      </c>
      <c r="L246" s="183"/>
      <c r="M246" s="183"/>
      <c r="N246" s="184"/>
      <c r="O246" s="184"/>
      <c r="P246" s="184"/>
      <c r="Q246" s="171">
        <v>247.90909090909099</v>
      </c>
      <c r="R246" s="178"/>
      <c r="S246" s="183"/>
      <c r="T246" s="201" t="s">
        <v>1495</v>
      </c>
      <c r="U246" s="16" t="s">
        <v>1497</v>
      </c>
    </row>
    <row r="247" spans="1:21" s="176" customFormat="1" ht="18.75" customHeight="1">
      <c r="A247" s="185">
        <f t="shared" si="6"/>
        <v>249.036363636364</v>
      </c>
      <c r="B247" s="186">
        <v>45936</v>
      </c>
      <c r="C247" s="187" t="str">
        <f t="shared" si="7"/>
        <v>Stephen Barter</v>
      </c>
      <c r="D247" s="187" t="s">
        <v>1282</v>
      </c>
      <c r="E247" s="187" t="s">
        <v>1283</v>
      </c>
      <c r="F247" s="187" t="s">
        <v>1284</v>
      </c>
      <c r="G247" s="187" t="s">
        <v>1285</v>
      </c>
      <c r="H247" s="187" t="s">
        <v>1286</v>
      </c>
      <c r="I247" s="187" t="s">
        <v>1286</v>
      </c>
      <c r="J247" s="25" t="s">
        <v>1488</v>
      </c>
      <c r="K247" s="187" t="s">
        <v>19</v>
      </c>
      <c r="L247" s="188"/>
      <c r="M247" s="188"/>
      <c r="N247" s="189"/>
      <c r="O247" s="189"/>
      <c r="P247" s="189"/>
      <c r="Q247" s="171">
        <v>249.036363636364</v>
      </c>
      <c r="R247" s="187"/>
      <c r="S247" s="188"/>
      <c r="T247" s="201" t="s">
        <v>1495</v>
      </c>
      <c r="U247" s="16" t="s">
        <v>1497</v>
      </c>
    </row>
    <row r="248" spans="1:21" ht="18.75" customHeight="1">
      <c r="A248" s="241">
        <f t="shared" si="6"/>
        <v>250.16363636363599</v>
      </c>
      <c r="B248" s="242">
        <v>45936</v>
      </c>
      <c r="C248" s="243" t="str">
        <f t="shared" si="7"/>
        <v>Susan Barter</v>
      </c>
      <c r="D248" s="243" t="s">
        <v>607</v>
      </c>
      <c r="E248" s="243" t="s">
        <v>1283</v>
      </c>
      <c r="F248" s="243" t="s">
        <v>1284</v>
      </c>
      <c r="G248" s="243" t="s">
        <v>1285</v>
      </c>
      <c r="H248" s="243" t="s">
        <v>1287</v>
      </c>
      <c r="I248" s="243" t="s">
        <v>1287</v>
      </c>
      <c r="J248" s="25" t="s">
        <v>1488</v>
      </c>
      <c r="K248" s="243" t="s">
        <v>19</v>
      </c>
      <c r="L248" s="246"/>
      <c r="M248" s="246"/>
      <c r="N248" s="247"/>
      <c r="O248" s="247"/>
      <c r="P248" s="247"/>
      <c r="Q248" s="171">
        <v>250.16363636363599</v>
      </c>
      <c r="R248" s="243"/>
      <c r="S248" s="246"/>
      <c r="T248" s="201" t="s">
        <v>1495</v>
      </c>
      <c r="U248" s="16" t="s">
        <v>1497</v>
      </c>
    </row>
    <row r="249" spans="1:21" ht="18.75" customHeight="1">
      <c r="A249" s="44">
        <f t="shared" si="6"/>
        <v>251.290909090909</v>
      </c>
      <c r="B249" s="69">
        <v>45939</v>
      </c>
      <c r="C249" s="43" t="str">
        <f t="shared" si="7"/>
        <v>Charlotte Atkinson</v>
      </c>
      <c r="D249" s="43" t="s">
        <v>1275</v>
      </c>
      <c r="E249" s="43" t="s">
        <v>1288</v>
      </c>
      <c r="F249" s="43" t="s">
        <v>1289</v>
      </c>
      <c r="G249" s="43" t="s">
        <v>1290</v>
      </c>
      <c r="H249" s="43" t="s">
        <v>1291</v>
      </c>
      <c r="I249" s="43" t="s">
        <v>1291</v>
      </c>
      <c r="J249" s="25" t="s">
        <v>1488</v>
      </c>
      <c r="K249" s="173" t="s">
        <v>11</v>
      </c>
      <c r="L249" s="57">
        <v>45939</v>
      </c>
      <c r="M249" s="57"/>
      <c r="N249" s="58">
        <v>5</v>
      </c>
      <c r="O249" s="58"/>
      <c r="P249" s="58"/>
      <c r="Q249" s="197">
        <v>251.290909090909</v>
      </c>
      <c r="R249" s="43"/>
      <c r="S249" s="57">
        <v>46304</v>
      </c>
      <c r="T249" s="201" t="s">
        <v>1495</v>
      </c>
      <c r="U249" s="16" t="s">
        <v>1497</v>
      </c>
    </row>
    <row r="250" spans="1:21" s="170" customFormat="1" ht="18.75" customHeight="1">
      <c r="A250" s="44">
        <f t="shared" si="6"/>
        <v>252.41818181818201</v>
      </c>
      <c r="B250" s="69">
        <v>45941</v>
      </c>
      <c r="C250" s="43" t="str">
        <f t="shared" si="7"/>
        <v>Christopher Salomons</v>
      </c>
      <c r="D250" s="43" t="s">
        <v>1292</v>
      </c>
      <c r="E250" s="43" t="s">
        <v>1293</v>
      </c>
      <c r="F250" s="43" t="s">
        <v>1289</v>
      </c>
      <c r="G250" s="43" t="s">
        <v>1290</v>
      </c>
      <c r="H250" s="43" t="s">
        <v>1294</v>
      </c>
      <c r="I250" s="43" t="s">
        <v>1294</v>
      </c>
      <c r="J250" s="25" t="s">
        <v>1488</v>
      </c>
      <c r="K250" s="43" t="s">
        <v>19</v>
      </c>
      <c r="L250" s="57">
        <v>46001</v>
      </c>
      <c r="M250" s="57"/>
      <c r="N250" s="58">
        <v>5</v>
      </c>
      <c r="O250" s="58"/>
      <c r="P250" s="58"/>
      <c r="Q250" s="197">
        <v>252.41818181818201</v>
      </c>
      <c r="R250" s="43"/>
      <c r="S250" s="57">
        <v>46366</v>
      </c>
      <c r="T250" s="201" t="s">
        <v>1495</v>
      </c>
      <c r="U250" s="16" t="s">
        <v>1497</v>
      </c>
    </row>
    <row r="251" spans="1:21" s="307" customFormat="1" ht="18.75" customHeight="1">
      <c r="A251" s="288">
        <f t="shared" si="6"/>
        <v>253.54545454545499</v>
      </c>
      <c r="B251" s="300">
        <v>45941</v>
      </c>
      <c r="C251" s="303" t="str">
        <f t="shared" si="7"/>
        <v>Kay Hennah</v>
      </c>
      <c r="D251" s="301" t="s">
        <v>1295</v>
      </c>
      <c r="E251" s="301" t="s">
        <v>1296</v>
      </c>
      <c r="F251" s="301" t="s">
        <v>466</v>
      </c>
      <c r="G251" s="301" t="s">
        <v>192</v>
      </c>
      <c r="H251" s="303" t="s">
        <v>1297</v>
      </c>
      <c r="I251" s="303" t="s">
        <v>1297</v>
      </c>
      <c r="J251" s="25" t="s">
        <v>1488</v>
      </c>
      <c r="K251" s="173" t="s">
        <v>1491</v>
      </c>
      <c r="L251" s="304">
        <v>45984</v>
      </c>
      <c r="M251" s="304"/>
      <c r="N251" s="305">
        <v>5</v>
      </c>
      <c r="O251" s="305"/>
      <c r="P251" s="305"/>
      <c r="Q251" s="197">
        <v>253.54545454545499</v>
      </c>
      <c r="R251" s="303"/>
      <c r="S251" s="304">
        <v>46349</v>
      </c>
      <c r="T251" s="201" t="s">
        <v>1495</v>
      </c>
      <c r="U251" s="16" t="s">
        <v>1497</v>
      </c>
    </row>
    <row r="252" spans="1:21" s="170" customFormat="1" ht="18.75" customHeight="1">
      <c r="A252" s="190">
        <f t="shared" si="6"/>
        <v>254.672727272727</v>
      </c>
      <c r="B252" s="191">
        <v>45941</v>
      </c>
      <c r="C252" s="192" t="str">
        <f t="shared" si="7"/>
        <v>Sharan Kaur Dhami</v>
      </c>
      <c r="D252" s="204" t="s">
        <v>1298</v>
      </c>
      <c r="E252" s="204" t="s">
        <v>1299</v>
      </c>
      <c r="F252" s="204" t="s">
        <v>1300</v>
      </c>
      <c r="G252" s="204" t="s">
        <v>1301</v>
      </c>
      <c r="H252" s="192" t="s">
        <v>1302</v>
      </c>
      <c r="I252" s="192" t="s">
        <v>1302</v>
      </c>
      <c r="J252" s="25" t="s">
        <v>1488</v>
      </c>
      <c r="K252" s="192" t="s">
        <v>14</v>
      </c>
      <c r="L252" s="193"/>
      <c r="M252" s="193"/>
      <c r="N252" s="194"/>
      <c r="O252" s="194"/>
      <c r="P252" s="194"/>
      <c r="Q252" s="171">
        <v>254.672727272727</v>
      </c>
      <c r="R252" s="192"/>
      <c r="S252" s="193"/>
      <c r="T252" s="201" t="s">
        <v>1495</v>
      </c>
      <c r="U252" s="16" t="s">
        <v>1497</v>
      </c>
    </row>
    <row r="253" spans="1:21" s="170" customFormat="1" ht="18.75" customHeight="1">
      <c r="A253" s="166">
        <f t="shared" si="6"/>
        <v>255.8</v>
      </c>
      <c r="B253" s="167">
        <v>45974</v>
      </c>
      <c r="C253" s="203" t="str">
        <f t="shared" si="7"/>
        <v>Kevin Wise</v>
      </c>
      <c r="D253" s="203" t="s">
        <v>1169</v>
      </c>
      <c r="E253" s="203" t="s">
        <v>823</v>
      </c>
      <c r="F253" s="203" t="s">
        <v>824</v>
      </c>
      <c r="G253" s="203" t="s">
        <v>163</v>
      </c>
      <c r="H253" s="121" t="s">
        <v>158</v>
      </c>
      <c r="I253" s="121" t="s">
        <v>158</v>
      </c>
      <c r="J253" s="25" t="s">
        <v>1488</v>
      </c>
      <c r="K253" s="165" t="s">
        <v>12</v>
      </c>
      <c r="L253" s="168">
        <v>45974</v>
      </c>
      <c r="M253" s="168"/>
      <c r="N253" s="169">
        <v>5</v>
      </c>
      <c r="O253" s="169"/>
      <c r="P253" s="169"/>
      <c r="Q253" s="197">
        <v>255.8</v>
      </c>
      <c r="R253" s="219"/>
      <c r="S253" s="168">
        <v>46339</v>
      </c>
      <c r="T253" s="201" t="s">
        <v>1495</v>
      </c>
      <c r="U253" s="16" t="s">
        <v>1497</v>
      </c>
    </row>
    <row r="254" spans="1:21" s="170" customFormat="1" ht="18.75" customHeight="1">
      <c r="A254" s="166">
        <f t="shared" si="6"/>
        <v>256.92727272727302</v>
      </c>
      <c r="B254" s="167">
        <v>45980</v>
      </c>
      <c r="C254" s="203" t="str">
        <f t="shared" si="7"/>
        <v>Linda Foster</v>
      </c>
      <c r="D254" s="203" t="s">
        <v>550</v>
      </c>
      <c r="E254" s="203" t="s">
        <v>1303</v>
      </c>
      <c r="F254" s="203" t="s">
        <v>1190</v>
      </c>
      <c r="G254" s="203"/>
      <c r="H254" s="238" t="s">
        <v>1304</v>
      </c>
      <c r="I254" s="238" t="s">
        <v>1304</v>
      </c>
      <c r="J254" s="25" t="s">
        <v>1488</v>
      </c>
      <c r="K254" s="165"/>
      <c r="L254" s="168">
        <v>45980</v>
      </c>
      <c r="M254" s="168"/>
      <c r="N254" s="169"/>
      <c r="O254" s="169"/>
      <c r="P254" s="169"/>
      <c r="Q254" s="213">
        <v>256.92727272727302</v>
      </c>
      <c r="R254" s="221"/>
      <c r="S254" s="168">
        <v>46345</v>
      </c>
      <c r="T254" s="201" t="s">
        <v>1495</v>
      </c>
      <c r="U254" s="16" t="s">
        <v>1497</v>
      </c>
    </row>
    <row r="255" spans="1:21" s="307" customFormat="1" ht="18.75" customHeight="1">
      <c r="A255" s="288">
        <f t="shared" si="6"/>
        <v>258.05454545454501</v>
      </c>
      <c r="B255" s="300">
        <v>45987</v>
      </c>
      <c r="C255" s="301" t="str">
        <f t="shared" si="7"/>
        <v>Rita Robinson</v>
      </c>
      <c r="D255" s="301" t="s">
        <v>1305</v>
      </c>
      <c r="E255" s="301" t="s">
        <v>422</v>
      </c>
      <c r="F255" s="301" t="s">
        <v>423</v>
      </c>
      <c r="G255" s="301" t="s">
        <v>564</v>
      </c>
      <c r="H255" s="302" t="s">
        <v>1306</v>
      </c>
      <c r="I255" s="302" t="s">
        <v>1306</v>
      </c>
      <c r="J255" s="25" t="s">
        <v>1488</v>
      </c>
      <c r="K255" s="173" t="s">
        <v>1491</v>
      </c>
      <c r="L255" s="304">
        <v>45987</v>
      </c>
      <c r="M255" s="304"/>
      <c r="N255" s="305">
        <v>0</v>
      </c>
      <c r="O255" s="305"/>
      <c r="P255" s="305"/>
      <c r="Q255" s="248">
        <v>258.05454545454501</v>
      </c>
      <c r="R255" s="306" t="s">
        <v>1307</v>
      </c>
      <c r="S255" s="304">
        <v>46352</v>
      </c>
      <c r="T255" s="201" t="s">
        <v>1495</v>
      </c>
      <c r="U255" s="16" t="s">
        <v>1497</v>
      </c>
    </row>
    <row r="256" spans="1:21" s="195" customFormat="1" ht="18.75" customHeight="1">
      <c r="A256" s="190">
        <f t="shared" si="6"/>
        <v>259</v>
      </c>
      <c r="B256" s="191"/>
      <c r="C256" s="204" t="str">
        <f t="shared" si="7"/>
        <v>Ash Patel</v>
      </c>
      <c r="D256" s="204" t="s">
        <v>1308</v>
      </c>
      <c r="E256" s="204" t="s">
        <v>658</v>
      </c>
      <c r="F256" s="204" t="s">
        <v>915</v>
      </c>
      <c r="G256" s="276" t="s">
        <v>1052</v>
      </c>
      <c r="H256" s="243" t="s">
        <v>1309</v>
      </c>
      <c r="I256" s="243" t="s">
        <v>1309</v>
      </c>
      <c r="J256" s="25" t="s">
        <v>1488</v>
      </c>
      <c r="K256" s="192" t="s">
        <v>1310</v>
      </c>
      <c r="L256" s="193"/>
      <c r="M256" s="193"/>
      <c r="N256" s="196"/>
      <c r="O256" s="196"/>
      <c r="P256" s="196"/>
      <c r="Q256" s="214">
        <v>259</v>
      </c>
      <c r="R256" s="220"/>
      <c r="S256" s="193"/>
      <c r="T256" s="201" t="s">
        <v>1495</v>
      </c>
      <c r="U256" s="16" t="s">
        <v>1497</v>
      </c>
    </row>
    <row r="257" spans="1:21" s="195" customFormat="1" ht="18.75" customHeight="1">
      <c r="A257" s="190">
        <f t="shared" si="6"/>
        <v>260</v>
      </c>
      <c r="B257" s="191"/>
      <c r="C257" s="204" t="str">
        <f t="shared" si="7"/>
        <v>Pete Garner</v>
      </c>
      <c r="D257" s="204" t="s">
        <v>1196</v>
      </c>
      <c r="E257" s="204" t="s">
        <v>1244</v>
      </c>
      <c r="F257" s="204" t="s">
        <v>450</v>
      </c>
      <c r="G257" s="276" t="s">
        <v>605</v>
      </c>
      <c r="H257" s="204" t="s">
        <v>1311</v>
      </c>
      <c r="I257" s="204" t="s">
        <v>1311</v>
      </c>
      <c r="J257" s="25" t="s">
        <v>1488</v>
      </c>
      <c r="K257" s="192" t="s">
        <v>1310</v>
      </c>
      <c r="L257" s="193"/>
      <c r="M257" s="193"/>
      <c r="N257" s="196"/>
      <c r="O257" s="196"/>
      <c r="P257" s="196"/>
      <c r="Q257" s="215">
        <v>260</v>
      </c>
      <c r="R257" s="220"/>
      <c r="S257" s="193"/>
      <c r="T257" s="201" t="s">
        <v>1495</v>
      </c>
      <c r="U257" s="16" t="s">
        <v>1497</v>
      </c>
    </row>
    <row r="258" spans="1:21" s="170" customFormat="1" ht="18.75" customHeight="1">
      <c r="A258" s="166">
        <f t="shared" si="6"/>
        <v>261</v>
      </c>
      <c r="B258" s="167"/>
      <c r="C258" s="203" t="s">
        <v>67</v>
      </c>
      <c r="D258" s="203" t="s">
        <v>488</v>
      </c>
      <c r="E258" s="203" t="s">
        <v>1312</v>
      </c>
      <c r="F258" s="203" t="s">
        <v>1313</v>
      </c>
      <c r="G258" s="277" t="s">
        <v>1314</v>
      </c>
      <c r="H258" s="203" t="s">
        <v>1315</v>
      </c>
      <c r="I258" s="203" t="s">
        <v>1315</v>
      </c>
      <c r="J258" s="25" t="s">
        <v>1488</v>
      </c>
      <c r="K258" s="5" t="s">
        <v>1489</v>
      </c>
      <c r="L258" s="168">
        <v>46050</v>
      </c>
      <c r="M258" s="168"/>
      <c r="N258" s="270"/>
      <c r="O258" s="270"/>
      <c r="P258" s="270"/>
      <c r="Q258" s="271">
        <v>261</v>
      </c>
      <c r="R258" s="221"/>
      <c r="S258" s="168">
        <v>46415</v>
      </c>
      <c r="T258" s="201" t="s">
        <v>1495</v>
      </c>
      <c r="U258" s="16" t="s">
        <v>1497</v>
      </c>
    </row>
    <row r="259" spans="1:21" s="170" customFormat="1" ht="18.75" customHeight="1">
      <c r="A259" s="166">
        <f t="shared" ref="A259:A284" si="8">Q259</f>
        <v>262</v>
      </c>
      <c r="B259" s="167" t="s">
        <v>1316</v>
      </c>
      <c r="C259" s="203" t="str">
        <f t="shared" ref="C259:C274" si="9">CONCATENATE(D:D," ",E:E)</f>
        <v>Shyam Petrovini</v>
      </c>
      <c r="D259" s="203" t="s">
        <v>1317</v>
      </c>
      <c r="E259" s="203" t="s">
        <v>1318</v>
      </c>
      <c r="F259" s="203" t="s">
        <v>142</v>
      </c>
      <c r="G259" s="205" t="s">
        <v>430</v>
      </c>
      <c r="H259" s="274" t="s">
        <v>1319</v>
      </c>
      <c r="I259" s="274" t="s">
        <v>1319</v>
      </c>
      <c r="J259" s="25" t="s">
        <v>1488</v>
      </c>
      <c r="K259" s="173" t="s">
        <v>1491</v>
      </c>
      <c r="L259" s="235">
        <v>46011</v>
      </c>
      <c r="M259" s="235"/>
      <c r="N259" s="266"/>
      <c r="O259" s="266"/>
      <c r="P259" s="266"/>
      <c r="Q259" s="216">
        <v>262</v>
      </c>
      <c r="R259" s="221"/>
      <c r="S259" s="235">
        <v>46376</v>
      </c>
      <c r="T259" s="201" t="s">
        <v>1495</v>
      </c>
      <c r="U259" s="16" t="s">
        <v>1497</v>
      </c>
    </row>
    <row r="260" spans="1:21" ht="18.75" customHeight="1">
      <c r="A260" s="166">
        <f t="shared" si="8"/>
        <v>263</v>
      </c>
      <c r="B260" s="69">
        <v>46027</v>
      </c>
      <c r="C260" s="203" t="str">
        <f t="shared" si="9"/>
        <v>Anita McKenzie</v>
      </c>
      <c r="D260" s="203" t="s">
        <v>1320</v>
      </c>
      <c r="E260" s="203" t="s">
        <v>1321</v>
      </c>
      <c r="F260" s="203" t="s">
        <v>471</v>
      </c>
      <c r="G260" s="205" t="s">
        <v>334</v>
      </c>
      <c r="H260" s="275" t="s">
        <v>1322</v>
      </c>
      <c r="I260" s="275" t="s">
        <v>1322</v>
      </c>
      <c r="J260" s="25" t="s">
        <v>1488</v>
      </c>
      <c r="K260" s="233" t="s">
        <v>19</v>
      </c>
      <c r="L260" s="57">
        <v>46027</v>
      </c>
      <c r="M260" s="312"/>
      <c r="N260" s="267">
        <v>5</v>
      </c>
      <c r="O260" s="265"/>
      <c r="P260" s="282"/>
      <c r="Q260" s="217">
        <v>263</v>
      </c>
      <c r="R260" s="5"/>
      <c r="S260" s="57">
        <v>46392</v>
      </c>
      <c r="T260" s="201" t="s">
        <v>1495</v>
      </c>
      <c r="U260" s="16" t="s">
        <v>1497</v>
      </c>
    </row>
    <row r="261" spans="1:21" ht="18.75" customHeight="1">
      <c r="A261" s="166">
        <f t="shared" si="8"/>
        <v>264</v>
      </c>
      <c r="B261" s="69">
        <v>46033</v>
      </c>
      <c r="C261" s="203" t="str">
        <f t="shared" si="9"/>
        <v>Martyn Brown</v>
      </c>
      <c r="D261" s="43" t="s">
        <v>1323</v>
      </c>
      <c r="E261" s="43" t="s">
        <v>525</v>
      </c>
      <c r="F261" s="43" t="s">
        <v>1324</v>
      </c>
      <c r="G261" s="278" t="s">
        <v>340</v>
      </c>
      <c r="H261" s="286" t="s">
        <v>1325</v>
      </c>
      <c r="I261" s="286" t="s">
        <v>1325</v>
      </c>
      <c r="J261" s="25" t="s">
        <v>1488</v>
      </c>
      <c r="K261" s="5" t="s">
        <v>1489</v>
      </c>
      <c r="L261" s="234">
        <v>46033</v>
      </c>
      <c r="M261" s="313"/>
      <c r="N261" s="267">
        <v>5</v>
      </c>
      <c r="O261" s="265"/>
      <c r="P261" s="282"/>
      <c r="Q261" s="218">
        <v>264</v>
      </c>
      <c r="R261" s="5"/>
      <c r="S261" s="234">
        <v>46398</v>
      </c>
      <c r="T261" s="201" t="s">
        <v>1495</v>
      </c>
      <c r="U261" s="16" t="s">
        <v>1497</v>
      </c>
    </row>
    <row r="262" spans="1:21" ht="18.75" customHeight="1">
      <c r="A262" s="166">
        <f t="shared" si="8"/>
        <v>265</v>
      </c>
      <c r="B262" s="69">
        <v>46046</v>
      </c>
      <c r="C262" s="203" t="str">
        <f t="shared" si="9"/>
        <v>Nick Cooper</v>
      </c>
      <c r="D262" s="43" t="s">
        <v>1326</v>
      </c>
      <c r="E262" s="43" t="s">
        <v>1327</v>
      </c>
      <c r="F262" s="233" t="s">
        <v>1038</v>
      </c>
      <c r="G262" s="20" t="s">
        <v>1328</v>
      </c>
      <c r="H262" s="259" t="s">
        <v>1329</v>
      </c>
      <c r="I262" s="259" t="s">
        <v>1329</v>
      </c>
      <c r="J262" s="25" t="s">
        <v>1488</v>
      </c>
      <c r="K262" s="279" t="s">
        <v>1330</v>
      </c>
      <c r="L262" s="234">
        <v>46046</v>
      </c>
      <c r="M262" s="234"/>
      <c r="N262" s="265"/>
      <c r="O262" s="265"/>
      <c r="P262" s="265"/>
      <c r="Q262" s="216">
        <v>265</v>
      </c>
      <c r="R262" s="5"/>
      <c r="S262" s="234">
        <v>46411</v>
      </c>
      <c r="T262" s="201" t="s">
        <v>1495</v>
      </c>
      <c r="U262" s="16" t="s">
        <v>1497</v>
      </c>
    </row>
    <row r="263" spans="1:21" ht="18.75" customHeight="1">
      <c r="A263" s="166">
        <f t="shared" si="8"/>
        <v>266</v>
      </c>
      <c r="B263" s="69">
        <v>46046</v>
      </c>
      <c r="C263" s="203" t="str">
        <f t="shared" si="9"/>
        <v>Eileen  Burke</v>
      </c>
      <c r="D263" s="43" t="s">
        <v>1331</v>
      </c>
      <c r="E263" s="43" t="s">
        <v>1332</v>
      </c>
      <c r="F263" s="233" t="s">
        <v>471</v>
      </c>
      <c r="G263" s="20" t="s">
        <v>334</v>
      </c>
      <c r="H263" s="259" t="s">
        <v>1333</v>
      </c>
      <c r="I263" s="259" t="s">
        <v>1333</v>
      </c>
      <c r="J263" s="25" t="s">
        <v>1488</v>
      </c>
      <c r="K263" s="279" t="s">
        <v>1330</v>
      </c>
      <c r="L263" s="57">
        <v>46046</v>
      </c>
      <c r="N263" s="52">
        <v>5</v>
      </c>
      <c r="O263" s="265"/>
      <c r="P263" s="265"/>
      <c r="Q263" s="216">
        <v>266</v>
      </c>
      <c r="R263" s="157" t="s">
        <v>1334</v>
      </c>
      <c r="S263" s="57">
        <v>46411</v>
      </c>
      <c r="T263" s="201" t="s">
        <v>1495</v>
      </c>
      <c r="U263" s="16" t="s">
        <v>1497</v>
      </c>
    </row>
    <row r="264" spans="1:21" ht="18.75" customHeight="1">
      <c r="A264" s="166">
        <f t="shared" si="8"/>
        <v>267</v>
      </c>
      <c r="B264" s="69">
        <v>46046</v>
      </c>
      <c r="C264" s="203" t="str">
        <f t="shared" si="9"/>
        <v>Clare Lucas</v>
      </c>
      <c r="D264" s="43" t="s">
        <v>905</v>
      </c>
      <c r="E264" s="43" t="s">
        <v>751</v>
      </c>
      <c r="F264" s="233" t="s">
        <v>142</v>
      </c>
      <c r="G264" s="20" t="s">
        <v>430</v>
      </c>
      <c r="H264" s="259" t="s">
        <v>1335</v>
      </c>
      <c r="I264" s="259" t="s">
        <v>1335</v>
      </c>
      <c r="J264" s="25" t="s">
        <v>1488</v>
      </c>
      <c r="K264" s="279" t="s">
        <v>1330</v>
      </c>
      <c r="L264" s="57">
        <v>46046</v>
      </c>
      <c r="N264" s="52">
        <v>5</v>
      </c>
      <c r="O264" s="265"/>
      <c r="P264" s="265"/>
      <c r="Q264" s="217">
        <v>267</v>
      </c>
      <c r="R264" s="157" t="s">
        <v>1336</v>
      </c>
      <c r="S264" s="57">
        <v>46411</v>
      </c>
      <c r="T264" s="201" t="s">
        <v>1495</v>
      </c>
      <c r="U264" s="16" t="s">
        <v>1497</v>
      </c>
    </row>
    <row r="265" spans="1:21" ht="18.75" customHeight="1">
      <c r="A265" s="166">
        <f t="shared" si="8"/>
        <v>268</v>
      </c>
      <c r="B265" s="69">
        <v>46046</v>
      </c>
      <c r="C265" s="43" t="str">
        <f t="shared" si="9"/>
        <v>Susan McGee</v>
      </c>
      <c r="D265" s="43" t="s">
        <v>607</v>
      </c>
      <c r="E265" s="43" t="s">
        <v>1337</v>
      </c>
      <c r="F265" s="233" t="s">
        <v>1338</v>
      </c>
      <c r="G265" s="20" t="s">
        <v>1339</v>
      </c>
      <c r="H265" s="5" t="s">
        <v>1340</v>
      </c>
      <c r="I265" s="5" t="s">
        <v>1340</v>
      </c>
      <c r="J265" s="25" t="s">
        <v>1488</v>
      </c>
      <c r="K265" s="279" t="s">
        <v>1330</v>
      </c>
      <c r="L265" s="57">
        <v>46046</v>
      </c>
      <c r="M265" s="57"/>
      <c r="N265" s="265"/>
      <c r="O265" s="265"/>
      <c r="P265" s="265"/>
      <c r="Q265" s="218">
        <v>268</v>
      </c>
      <c r="R265" s="5"/>
      <c r="S265" s="57">
        <v>46411</v>
      </c>
      <c r="T265" s="201" t="s">
        <v>1495</v>
      </c>
      <c r="U265" s="16" t="s">
        <v>1497</v>
      </c>
    </row>
    <row r="266" spans="1:21" ht="18.75" customHeight="1">
      <c r="A266" s="166">
        <f t="shared" si="8"/>
        <v>269</v>
      </c>
      <c r="B266" s="69">
        <v>46046</v>
      </c>
      <c r="C266" s="43" t="str">
        <f t="shared" si="9"/>
        <v>Alessandro Benedetto</v>
      </c>
      <c r="D266" s="43" t="s">
        <v>1341</v>
      </c>
      <c r="E266" s="43" t="s">
        <v>1342</v>
      </c>
      <c r="F266" s="233" t="s">
        <v>1343</v>
      </c>
      <c r="G266" s="20" t="s">
        <v>1344</v>
      </c>
      <c r="H266" s="5" t="s">
        <v>1345</v>
      </c>
      <c r="I266" s="5" t="s">
        <v>1345</v>
      </c>
      <c r="J266" s="25" t="s">
        <v>1488</v>
      </c>
      <c r="K266" s="279" t="s">
        <v>1330</v>
      </c>
      <c r="L266" s="57">
        <v>46046</v>
      </c>
      <c r="M266" s="57"/>
      <c r="N266" s="265"/>
      <c r="O266" s="265"/>
      <c r="P266" s="265"/>
      <c r="Q266" s="216">
        <v>269</v>
      </c>
      <c r="R266" s="5"/>
      <c r="S266" s="57">
        <v>46411</v>
      </c>
      <c r="T266" s="201" t="s">
        <v>1495</v>
      </c>
      <c r="U266" s="16" t="s">
        <v>1497</v>
      </c>
    </row>
    <row r="267" spans="1:21" ht="18.75" customHeight="1">
      <c r="A267" s="166">
        <f t="shared" si="8"/>
        <v>270</v>
      </c>
      <c r="B267" s="145">
        <v>46046</v>
      </c>
      <c r="C267" s="141" t="str">
        <f t="shared" si="9"/>
        <v>Bex Lawrie</v>
      </c>
      <c r="D267" s="141" t="s">
        <v>1346</v>
      </c>
      <c r="E267" s="141" t="s">
        <v>928</v>
      </c>
      <c r="F267" s="293" t="s">
        <v>1214</v>
      </c>
      <c r="G267" s="20" t="s">
        <v>1215</v>
      </c>
      <c r="H267" s="5" t="s">
        <v>1347</v>
      </c>
      <c r="I267" s="5" t="s">
        <v>1347</v>
      </c>
      <c r="J267" s="25" t="s">
        <v>1488</v>
      </c>
      <c r="K267" s="280" t="s">
        <v>1330</v>
      </c>
      <c r="L267" s="239">
        <v>46046</v>
      </c>
      <c r="N267" s="52">
        <v>5</v>
      </c>
      <c r="O267" s="268"/>
      <c r="P267" s="268"/>
      <c r="Q267" s="240">
        <v>270</v>
      </c>
      <c r="R267" s="157" t="s">
        <v>1334</v>
      </c>
      <c r="S267" s="239">
        <v>46411</v>
      </c>
      <c r="T267" s="201" t="s">
        <v>1495</v>
      </c>
      <c r="U267" s="16" t="s">
        <v>1497</v>
      </c>
    </row>
    <row r="268" spans="1:21" ht="18.75" customHeight="1">
      <c r="A268" s="166">
        <f t="shared" si="8"/>
        <v>271</v>
      </c>
      <c r="B268" s="115">
        <v>46046</v>
      </c>
      <c r="C268" s="5" t="str">
        <f t="shared" si="9"/>
        <v>Valerie Clarke</v>
      </c>
      <c r="D268" s="5" t="s">
        <v>613</v>
      </c>
      <c r="E268" s="5" t="s">
        <v>1126</v>
      </c>
      <c r="F268" s="284" t="s">
        <v>1277</v>
      </c>
      <c r="G268" s="20" t="s">
        <v>370</v>
      </c>
      <c r="H268" s="5" t="s">
        <v>366</v>
      </c>
      <c r="I268" s="5" t="s">
        <v>366</v>
      </c>
      <c r="J268" s="25" t="s">
        <v>1488</v>
      </c>
      <c r="K268" s="281" t="s">
        <v>1330</v>
      </c>
      <c r="L268" s="51" t="s">
        <v>1348</v>
      </c>
      <c r="M268" s="51"/>
      <c r="N268" s="269">
        <v>5</v>
      </c>
      <c r="O268" s="269"/>
      <c r="P268" s="269"/>
      <c r="Q268" s="240">
        <v>271</v>
      </c>
      <c r="R268" s="5"/>
      <c r="S268" s="51" t="s">
        <v>1349</v>
      </c>
      <c r="T268" s="201" t="s">
        <v>1495</v>
      </c>
      <c r="U268" s="16" t="s">
        <v>1497</v>
      </c>
    </row>
    <row r="269" spans="1:21" ht="18.75" customHeight="1">
      <c r="A269" s="166">
        <f t="shared" si="8"/>
        <v>272</v>
      </c>
      <c r="B269" s="115">
        <v>46046</v>
      </c>
      <c r="C269" s="5" t="str">
        <f t="shared" si="9"/>
        <v>Tony Perez</v>
      </c>
      <c r="D269" s="5" t="s">
        <v>1350</v>
      </c>
      <c r="E269" s="5" t="s">
        <v>1351</v>
      </c>
      <c r="F269" s="294" t="s">
        <v>1071</v>
      </c>
      <c r="G269" s="20" t="s">
        <v>1093</v>
      </c>
      <c r="H269" s="5" t="s">
        <v>1352</v>
      </c>
      <c r="I269" s="5" t="s">
        <v>1352</v>
      </c>
      <c r="J269" s="25" t="s">
        <v>1488</v>
      </c>
      <c r="K269" s="281" t="s">
        <v>1330</v>
      </c>
      <c r="L269" s="51">
        <v>46046</v>
      </c>
      <c r="M269" s="51"/>
      <c r="N269" s="269"/>
      <c r="O269" s="269"/>
      <c r="P269" s="269"/>
      <c r="Q269" s="240">
        <v>272</v>
      </c>
      <c r="R269" s="5"/>
      <c r="S269" s="51">
        <v>46411</v>
      </c>
      <c r="T269" s="201" t="s">
        <v>1495</v>
      </c>
      <c r="U269" s="16" t="s">
        <v>1497</v>
      </c>
    </row>
    <row r="270" spans="1:21" ht="18.75" customHeight="1">
      <c r="A270" s="166">
        <f t="shared" si="8"/>
        <v>273</v>
      </c>
      <c r="B270" s="115">
        <v>46046</v>
      </c>
      <c r="C270" s="5" t="str">
        <f t="shared" si="9"/>
        <v>Roz Lamb</v>
      </c>
      <c r="D270" s="5" t="s">
        <v>1353</v>
      </c>
      <c r="E270" s="284" t="s">
        <v>1354</v>
      </c>
      <c r="F270" s="233" t="s">
        <v>782</v>
      </c>
      <c r="G270" s="20" t="s">
        <v>1355</v>
      </c>
      <c r="H270" s="5" t="s">
        <v>1356</v>
      </c>
      <c r="I270" s="5" t="s">
        <v>1356</v>
      </c>
      <c r="J270" s="25" t="s">
        <v>1488</v>
      </c>
      <c r="K270" s="281" t="s">
        <v>1330</v>
      </c>
      <c r="L270" s="51">
        <v>46072</v>
      </c>
      <c r="M270" s="51"/>
      <c r="N270" s="269">
        <v>5</v>
      </c>
      <c r="O270" s="269"/>
      <c r="P270" s="269"/>
      <c r="Q270" s="240">
        <v>273</v>
      </c>
      <c r="R270" s="5"/>
      <c r="S270" s="51">
        <v>46437</v>
      </c>
      <c r="T270" s="201" t="s">
        <v>1495</v>
      </c>
      <c r="U270" s="16" t="s">
        <v>1497</v>
      </c>
    </row>
    <row r="271" spans="1:21" s="201" customFormat="1" ht="18.75" customHeight="1">
      <c r="A271" s="190">
        <f t="shared" si="8"/>
        <v>274</v>
      </c>
      <c r="B271" s="172">
        <v>46046</v>
      </c>
      <c r="C271" s="173" t="str">
        <f t="shared" si="9"/>
        <v>Katharine Newman</v>
      </c>
      <c r="D271" s="173" t="s">
        <v>1357</v>
      </c>
      <c r="E271" s="255" t="s">
        <v>1358</v>
      </c>
      <c r="F271" s="296" t="s">
        <v>1359</v>
      </c>
      <c r="G271" s="297" t="s">
        <v>1359</v>
      </c>
      <c r="H271" s="173" t="s">
        <v>1360</v>
      </c>
      <c r="I271" s="173" t="s">
        <v>1360</v>
      </c>
      <c r="J271" s="25" t="s">
        <v>1488</v>
      </c>
      <c r="K271" s="298" t="s">
        <v>1330</v>
      </c>
      <c r="L271" s="174"/>
      <c r="M271" s="174"/>
      <c r="N271" s="283"/>
      <c r="O271" s="283"/>
      <c r="P271" s="283"/>
      <c r="Q271" s="299">
        <v>274</v>
      </c>
      <c r="R271" s="173"/>
      <c r="S271" s="174"/>
      <c r="T271" s="201" t="s">
        <v>1495</v>
      </c>
      <c r="U271" s="16" t="s">
        <v>1497</v>
      </c>
    </row>
    <row r="272" spans="1:21" s="201" customFormat="1" ht="18.75" customHeight="1">
      <c r="A272" s="190">
        <f t="shared" si="8"/>
        <v>275</v>
      </c>
      <c r="B272" s="172">
        <v>46067</v>
      </c>
      <c r="C272" s="173" t="str">
        <f t="shared" si="9"/>
        <v>Sagar Narotomo</v>
      </c>
      <c r="D272" s="173" t="s">
        <v>1361</v>
      </c>
      <c r="E272" s="255" t="s">
        <v>1362</v>
      </c>
      <c r="F272" s="296" t="s">
        <v>1363</v>
      </c>
      <c r="G272" s="297" t="s">
        <v>1364</v>
      </c>
      <c r="H272" s="173" t="s">
        <v>1365</v>
      </c>
      <c r="I272" s="173" t="s">
        <v>1365</v>
      </c>
      <c r="J272" s="25" t="s">
        <v>1488</v>
      </c>
      <c r="K272" s="173" t="s">
        <v>11</v>
      </c>
      <c r="L272" s="174"/>
      <c r="M272" s="174"/>
      <c r="N272" s="283"/>
      <c r="O272" s="283"/>
      <c r="P272" s="283"/>
      <c r="Q272" s="299">
        <v>275</v>
      </c>
      <c r="R272" s="173"/>
      <c r="S272" s="174"/>
      <c r="T272" s="201" t="s">
        <v>1495</v>
      </c>
      <c r="U272" s="16" t="s">
        <v>1497</v>
      </c>
    </row>
    <row r="273" spans="1:21" ht="18.75" customHeight="1">
      <c r="A273" s="166">
        <f t="shared" si="8"/>
        <v>276</v>
      </c>
      <c r="B273" s="115">
        <v>46070</v>
      </c>
      <c r="C273" s="5" t="str">
        <f t="shared" si="9"/>
        <v>Janet Jones</v>
      </c>
      <c r="D273" s="5" t="s">
        <v>1050</v>
      </c>
      <c r="E273" s="284" t="s">
        <v>1366</v>
      </c>
      <c r="F273" s="233" t="s">
        <v>1367</v>
      </c>
      <c r="G273" s="20" t="s">
        <v>861</v>
      </c>
      <c r="H273" s="5" t="s">
        <v>1368</v>
      </c>
      <c r="I273" s="5" t="s">
        <v>1368</v>
      </c>
      <c r="J273" s="25" t="s">
        <v>1488</v>
      </c>
      <c r="K273" s="5" t="s">
        <v>1489</v>
      </c>
      <c r="L273" s="51">
        <v>46070</v>
      </c>
      <c r="M273" s="51"/>
      <c r="N273" s="269">
        <v>5</v>
      </c>
      <c r="O273" s="269"/>
      <c r="P273" s="269"/>
      <c r="Q273" s="240">
        <v>276</v>
      </c>
      <c r="R273" s="5"/>
      <c r="S273" s="51">
        <v>46435</v>
      </c>
      <c r="T273" s="201" t="s">
        <v>1495</v>
      </c>
      <c r="U273" s="16" t="s">
        <v>1497</v>
      </c>
    </row>
    <row r="274" spans="1:21" ht="18.75" customHeight="1">
      <c r="A274" s="166">
        <f t="shared" si="8"/>
        <v>277</v>
      </c>
      <c r="B274" s="115">
        <v>46070</v>
      </c>
      <c r="C274" s="5" t="str">
        <f t="shared" si="9"/>
        <v>Matthew  Speakman</v>
      </c>
      <c r="D274" s="5" t="s">
        <v>1369</v>
      </c>
      <c r="E274" s="5" t="s">
        <v>1370</v>
      </c>
      <c r="F274" s="295" t="s">
        <v>362</v>
      </c>
      <c r="G274" s="20" t="s">
        <v>1371</v>
      </c>
      <c r="H274" s="259" t="s">
        <v>359</v>
      </c>
      <c r="I274" s="259" t="s">
        <v>359</v>
      </c>
      <c r="J274" s="25" t="s">
        <v>1488</v>
      </c>
      <c r="K274" s="285" t="s">
        <v>1493</v>
      </c>
      <c r="L274" s="51">
        <v>46070</v>
      </c>
      <c r="M274" s="51"/>
      <c r="N274" s="269">
        <v>5</v>
      </c>
      <c r="O274" s="269"/>
      <c r="P274" s="269"/>
      <c r="Q274" s="240">
        <v>277</v>
      </c>
      <c r="R274" s="5"/>
      <c r="S274" s="51">
        <v>46435</v>
      </c>
      <c r="T274" s="201" t="s">
        <v>1495</v>
      </c>
      <c r="U274" s="16" t="s">
        <v>1497</v>
      </c>
    </row>
    <row r="275" spans="1:21" ht="18.75" customHeight="1">
      <c r="A275" s="166">
        <f t="shared" si="8"/>
        <v>278</v>
      </c>
      <c r="B275" s="116" t="s">
        <v>1372</v>
      </c>
      <c r="C275" s="5" t="s">
        <v>1373</v>
      </c>
      <c r="D275" s="5" t="s">
        <v>1374</v>
      </c>
      <c r="E275" s="5" t="s">
        <v>1375</v>
      </c>
      <c r="F275" s="5" t="s">
        <v>559</v>
      </c>
      <c r="G275" s="20" t="s">
        <v>1376</v>
      </c>
      <c r="H275" s="99" t="s">
        <v>1377</v>
      </c>
      <c r="I275" s="99" t="s">
        <v>1377</v>
      </c>
      <c r="J275" s="25" t="s">
        <v>1488</v>
      </c>
      <c r="K275" s="5" t="s">
        <v>19</v>
      </c>
      <c r="L275" s="51">
        <v>46101</v>
      </c>
      <c r="M275" s="51"/>
      <c r="N275" s="269">
        <v>5</v>
      </c>
      <c r="O275" s="269"/>
      <c r="P275" s="269"/>
      <c r="Q275" s="240">
        <v>278</v>
      </c>
      <c r="R275" s="5"/>
      <c r="S275" s="51"/>
      <c r="T275" s="201" t="s">
        <v>1495</v>
      </c>
      <c r="U275" s="16" t="s">
        <v>1497</v>
      </c>
    </row>
    <row r="276" spans="1:21" ht="18.75" customHeight="1">
      <c r="A276" s="166">
        <f t="shared" si="8"/>
        <v>279</v>
      </c>
      <c r="B276" s="69" t="s">
        <v>1378</v>
      </c>
      <c r="C276" s="281" t="s">
        <v>1379</v>
      </c>
      <c r="D276" s="5" t="s">
        <v>1380</v>
      </c>
      <c r="E276" s="5" t="s">
        <v>1381</v>
      </c>
      <c r="F276" s="314" t="s">
        <v>1382</v>
      </c>
      <c r="G276" s="314" t="s">
        <v>1383</v>
      </c>
      <c r="H276" s="315" t="s">
        <v>1384</v>
      </c>
      <c r="I276" s="315" t="s">
        <v>1384</v>
      </c>
      <c r="J276" s="25" t="s">
        <v>1488</v>
      </c>
      <c r="K276" s="285" t="s">
        <v>1493</v>
      </c>
      <c r="M276" s="51" t="s">
        <v>1378</v>
      </c>
      <c r="N276" s="269">
        <v>5</v>
      </c>
      <c r="O276" s="269"/>
      <c r="P276" s="52" t="s">
        <v>17</v>
      </c>
      <c r="Q276" s="240">
        <v>279</v>
      </c>
      <c r="R276" s="5" t="s">
        <v>1385</v>
      </c>
      <c r="S276" s="51"/>
      <c r="T276" s="201" t="s">
        <v>1495</v>
      </c>
      <c r="U276" s="16" t="s">
        <v>1497</v>
      </c>
    </row>
    <row r="277" spans="1:21" ht="18.75" customHeight="1">
      <c r="A277" s="166">
        <f t="shared" si="8"/>
        <v>280</v>
      </c>
      <c r="B277" s="69" t="s">
        <v>68</v>
      </c>
      <c r="C277" s="281" t="s">
        <v>71</v>
      </c>
      <c r="D277" s="5" t="s">
        <v>1386</v>
      </c>
      <c r="E277" s="5" t="s">
        <v>1387</v>
      </c>
      <c r="F277" s="5" t="s">
        <v>1038</v>
      </c>
      <c r="G277" s="20" t="s">
        <v>1388</v>
      </c>
      <c r="H277" s="99" t="s">
        <v>1389</v>
      </c>
      <c r="I277" s="99" t="s">
        <v>1389</v>
      </c>
      <c r="J277" s="25" t="s">
        <v>1488</v>
      </c>
      <c r="K277" s="5" t="s">
        <v>1330</v>
      </c>
      <c r="L277" s="51"/>
      <c r="M277" s="51" t="s">
        <v>68</v>
      </c>
      <c r="N277" s="269">
        <v>5</v>
      </c>
      <c r="O277" s="269"/>
      <c r="P277" s="269" t="s">
        <v>1390</v>
      </c>
      <c r="Q277" s="240">
        <v>280</v>
      </c>
      <c r="R277" s="5"/>
      <c r="S277" s="51">
        <v>46391</v>
      </c>
      <c r="T277" s="201" t="s">
        <v>1495</v>
      </c>
      <c r="U277" s="16" t="s">
        <v>1497</v>
      </c>
    </row>
    <row r="278" spans="1:21" ht="18.75" customHeight="1">
      <c r="A278" s="166">
        <f t="shared" si="8"/>
        <v>281</v>
      </c>
      <c r="B278" s="69" t="s">
        <v>68</v>
      </c>
      <c r="C278" s="281" t="s">
        <v>72</v>
      </c>
      <c r="D278" s="5" t="s">
        <v>926</v>
      </c>
      <c r="E278" s="5" t="s">
        <v>645</v>
      </c>
      <c r="F278" s="5" t="s">
        <v>643</v>
      </c>
      <c r="G278" s="20" t="s">
        <v>1391</v>
      </c>
      <c r="H278" s="99" t="s">
        <v>1392</v>
      </c>
      <c r="I278" s="99" t="s">
        <v>1392</v>
      </c>
      <c r="J278" s="25" t="s">
        <v>1488</v>
      </c>
      <c r="K278" s="5" t="s">
        <v>1330</v>
      </c>
      <c r="L278" s="51"/>
      <c r="M278" s="51" t="s">
        <v>68</v>
      </c>
      <c r="N278" s="269">
        <v>5</v>
      </c>
      <c r="O278" s="269"/>
      <c r="P278" s="269" t="s">
        <v>1390</v>
      </c>
      <c r="Q278" s="240">
        <v>281</v>
      </c>
      <c r="R278" s="5"/>
      <c r="S278" s="51">
        <v>46391</v>
      </c>
      <c r="T278" s="201" t="s">
        <v>1495</v>
      </c>
      <c r="U278" s="16" t="s">
        <v>1497</v>
      </c>
    </row>
    <row r="279" spans="1:21" ht="18.75" customHeight="1">
      <c r="A279" s="166">
        <f t="shared" si="8"/>
        <v>282</v>
      </c>
      <c r="B279" s="69" t="s">
        <v>68</v>
      </c>
      <c r="C279" s="281" t="s">
        <v>73</v>
      </c>
      <c r="D279" s="5" t="s">
        <v>675</v>
      </c>
      <c r="E279" s="5" t="s">
        <v>525</v>
      </c>
      <c r="F279" s="5" t="s">
        <v>1075</v>
      </c>
      <c r="G279" s="20" t="s">
        <v>1076</v>
      </c>
      <c r="H279" s="99" t="s">
        <v>1393</v>
      </c>
      <c r="I279" s="99" t="s">
        <v>1393</v>
      </c>
      <c r="J279" s="25" t="s">
        <v>1488</v>
      </c>
      <c r="K279" s="5" t="s">
        <v>1330</v>
      </c>
      <c r="L279" s="51"/>
      <c r="M279" s="51" t="s">
        <v>68</v>
      </c>
      <c r="N279" s="269">
        <v>5</v>
      </c>
      <c r="O279" s="269"/>
      <c r="P279" s="269" t="s">
        <v>1390</v>
      </c>
      <c r="Q279" s="240">
        <v>282</v>
      </c>
      <c r="R279" s="46"/>
      <c r="S279" s="51">
        <v>46391</v>
      </c>
      <c r="T279" s="201" t="s">
        <v>1495</v>
      </c>
      <c r="U279" s="16" t="s">
        <v>1497</v>
      </c>
    </row>
    <row r="280" spans="1:21" ht="18.75" customHeight="1">
      <c r="A280" s="290">
        <f t="shared" si="8"/>
        <v>283</v>
      </c>
      <c r="B280" s="69" t="s">
        <v>68</v>
      </c>
      <c r="C280" s="287" t="s">
        <v>74</v>
      </c>
      <c r="D280" s="46" t="s">
        <v>1394</v>
      </c>
      <c r="E280" s="46" t="s">
        <v>1395</v>
      </c>
      <c r="F280" s="46" t="s">
        <v>491</v>
      </c>
      <c r="G280" s="291" t="s">
        <v>492</v>
      </c>
      <c r="H280" s="316" t="s">
        <v>1396</v>
      </c>
      <c r="I280" s="316" t="s">
        <v>1396</v>
      </c>
      <c r="J280" s="25" t="s">
        <v>1488</v>
      </c>
      <c r="K280" s="46" t="s">
        <v>1330</v>
      </c>
      <c r="L280" s="55"/>
      <c r="M280" s="55" t="s">
        <v>68</v>
      </c>
      <c r="N280" s="289">
        <v>5</v>
      </c>
      <c r="O280" s="289"/>
      <c r="P280" s="289" t="s">
        <v>1390</v>
      </c>
      <c r="Q280" s="292">
        <v>283</v>
      </c>
      <c r="R280" s="43"/>
      <c r="S280" s="51">
        <v>46391</v>
      </c>
      <c r="T280" s="201" t="s">
        <v>1495</v>
      </c>
      <c r="U280" s="16" t="s">
        <v>1497</v>
      </c>
    </row>
    <row r="281" spans="1:21" ht="18.75" customHeight="1">
      <c r="A281" s="166">
        <f t="shared" si="8"/>
        <v>284</v>
      </c>
      <c r="B281" s="69" t="s">
        <v>68</v>
      </c>
      <c r="C281" s="43" t="s">
        <v>75</v>
      </c>
      <c r="D281" s="43" t="s">
        <v>1397</v>
      </c>
      <c r="E281" s="43" t="s">
        <v>1398</v>
      </c>
      <c r="F281" s="43" t="s">
        <v>804</v>
      </c>
      <c r="G281" s="45" t="s">
        <v>805</v>
      </c>
      <c r="H281" s="317" t="s">
        <v>1399</v>
      </c>
      <c r="I281" s="317" t="s">
        <v>1399</v>
      </c>
      <c r="J281" s="25" t="s">
        <v>1488</v>
      </c>
      <c r="K281" s="43" t="s">
        <v>1330</v>
      </c>
      <c r="L281" s="57"/>
      <c r="M281" s="57" t="s">
        <v>68</v>
      </c>
      <c r="N281" s="265">
        <v>5</v>
      </c>
      <c r="O281" s="265"/>
      <c r="P281" s="265" t="s">
        <v>1390</v>
      </c>
      <c r="Q281" s="288">
        <v>284</v>
      </c>
      <c r="R281" s="279"/>
      <c r="S281" s="51">
        <v>46391</v>
      </c>
      <c r="T281" s="201" t="s">
        <v>1495</v>
      </c>
      <c r="U281" s="16" t="s">
        <v>1497</v>
      </c>
    </row>
    <row r="282" spans="1:21" ht="18.75" customHeight="1">
      <c r="A282" s="290">
        <f t="shared" si="8"/>
        <v>285</v>
      </c>
      <c r="B282" s="145" t="s">
        <v>68</v>
      </c>
      <c r="C282" s="141" t="s">
        <v>76</v>
      </c>
      <c r="D282" s="141" t="s">
        <v>1400</v>
      </c>
      <c r="E282" s="141" t="s">
        <v>1401</v>
      </c>
      <c r="F282" s="141" t="s">
        <v>1367</v>
      </c>
      <c r="G282" s="318" t="s">
        <v>861</v>
      </c>
      <c r="H282" s="320" t="s">
        <v>1402</v>
      </c>
      <c r="I282" s="320" t="s">
        <v>1402</v>
      </c>
      <c r="J282" s="25" t="s">
        <v>1488</v>
      </c>
      <c r="K282" s="141" t="s">
        <v>1330</v>
      </c>
      <c r="L282" s="239"/>
      <c r="M282" s="239" t="s">
        <v>68</v>
      </c>
      <c r="N282" s="265">
        <v>5</v>
      </c>
      <c r="O282" s="319"/>
      <c r="P282" s="319" t="s">
        <v>1390</v>
      </c>
      <c r="Q282" s="292">
        <v>285</v>
      </c>
      <c r="R282" s="280"/>
      <c r="S282" s="55">
        <v>46391</v>
      </c>
      <c r="T282" s="201" t="s">
        <v>1495</v>
      </c>
      <c r="U282" s="16" t="s">
        <v>1497</v>
      </c>
    </row>
    <row r="283" spans="1:21" ht="18.75" customHeight="1">
      <c r="A283" s="290">
        <f t="shared" si="8"/>
        <v>286</v>
      </c>
      <c r="B283" s="69" t="s">
        <v>1403</v>
      </c>
      <c r="C283" s="43" t="s">
        <v>1404</v>
      </c>
      <c r="D283" s="43" t="s">
        <v>705</v>
      </c>
      <c r="E283" s="43" t="s">
        <v>1405</v>
      </c>
      <c r="F283" s="43" t="s">
        <v>1406</v>
      </c>
      <c r="G283" s="322" t="s">
        <v>1407</v>
      </c>
      <c r="H283" s="238" t="s">
        <v>1408</v>
      </c>
      <c r="I283" s="238" t="s">
        <v>1408</v>
      </c>
      <c r="J283" s="25" t="s">
        <v>1488</v>
      </c>
      <c r="K283" s="43" t="s">
        <v>1330</v>
      </c>
      <c r="L283" s="57"/>
      <c r="M283" s="57" t="s">
        <v>1403</v>
      </c>
      <c r="N283" s="265">
        <v>5</v>
      </c>
      <c r="O283" s="59"/>
      <c r="P283" s="52" t="s">
        <v>17</v>
      </c>
      <c r="Q283" s="288">
        <v>286</v>
      </c>
      <c r="R283" s="43" t="s">
        <v>1409</v>
      </c>
      <c r="S283" s="57"/>
      <c r="T283" s="201" t="s">
        <v>1495</v>
      </c>
      <c r="U283" s="16" t="s">
        <v>1497</v>
      </c>
    </row>
    <row r="284" spans="1:21" ht="18.75" customHeight="1">
      <c r="A284" s="290">
        <f t="shared" si="8"/>
        <v>287</v>
      </c>
      <c r="B284" s="69" t="s">
        <v>1410</v>
      </c>
      <c r="C284" s="43" t="s">
        <v>1411</v>
      </c>
      <c r="D284" s="43" t="s">
        <v>1159</v>
      </c>
      <c r="E284" s="43" t="s">
        <v>1412</v>
      </c>
      <c r="F284" s="43" t="s">
        <v>1007</v>
      </c>
      <c r="G284" s="45" t="s">
        <v>1008</v>
      </c>
      <c r="H284" s="321" t="s">
        <v>1413</v>
      </c>
      <c r="I284" s="321" t="s">
        <v>1413</v>
      </c>
      <c r="J284" s="25" t="s">
        <v>1488</v>
      </c>
      <c r="K284" s="5" t="s">
        <v>19</v>
      </c>
      <c r="L284" s="57"/>
      <c r="M284" s="57" t="s">
        <v>1410</v>
      </c>
      <c r="N284" s="265">
        <v>5</v>
      </c>
      <c r="O284" s="59"/>
      <c r="P284" s="52" t="s">
        <v>17</v>
      </c>
      <c r="Q284" s="288">
        <v>287</v>
      </c>
      <c r="R284" s="43"/>
      <c r="S284" s="57">
        <v>46391</v>
      </c>
      <c r="T284" s="201" t="s">
        <v>1495</v>
      </c>
      <c r="U284" s="16" t="s">
        <v>1497</v>
      </c>
    </row>
    <row r="285" spans="1:21" ht="18.75" customHeight="1">
      <c r="N285" s="89"/>
      <c r="S285" s="60"/>
    </row>
  </sheetData>
  <autoFilter ref="A1:S284" xr:uid="{7A5352C6-2BCE-4869-9057-0C4A3635AEC2}"/>
  <hyperlinks>
    <hyperlink ref="F194" r:id="rId1" tooltip="https://www.google.com/maps/search/40+Reedsfield+Road?entry=gmail&amp;source=g" display="https://www.google.com/maps/search/40+Reedsfield+Road?entry=gmail&amp;source=g" xr:uid="{9A236A59-04D3-4D1B-A201-62653AB71F25}"/>
    <hyperlink ref="H238" r:id="rId2" xr:uid="{A08AD006-9AB8-44C0-9295-3DA7478588CC}"/>
    <hyperlink ref="H17" r:id="rId3" xr:uid="{C9C96DC9-FBB0-4644-B3CE-FDB3A0CA39CE}"/>
    <hyperlink ref="H79" r:id="rId4" xr:uid="{E5E1A712-893B-45E1-89D3-746D8834A3D1}"/>
    <hyperlink ref="H13" r:id="rId5" xr:uid="{44AAB7E1-0B7E-4B9D-A786-C313CD781E95}"/>
    <hyperlink ref="H156" r:id="rId6" xr:uid="{BCCA0395-0696-439E-B7AE-7DA2F0D26A2A}"/>
    <hyperlink ref="H203" r:id="rId7" xr:uid="{A1C445E8-3AF7-467A-A4AB-71CDCCFADEC8}"/>
    <hyperlink ref="H163" r:id="rId8" xr:uid="{E3048C98-5220-4D3B-95E7-CC1BC49F66B1}"/>
    <hyperlink ref="H101" r:id="rId9" xr:uid="{19BC5F93-DBE5-4D95-A8B5-71BF6DA99CB8}"/>
    <hyperlink ref="H27" r:id="rId10" xr:uid="{3E72E332-9AF6-4273-91AC-CFFB096C3C68}"/>
    <hyperlink ref="H228" r:id="rId11" xr:uid="{FCDB151D-2930-4DBA-8B6A-EA28F08C01EB}"/>
    <hyperlink ref="H21" r:id="rId12" xr:uid="{12AADE60-FCD6-4A70-A007-840FD43369D0}"/>
    <hyperlink ref="H38" r:id="rId13" xr:uid="{82320310-6456-4295-A2E0-71BED5F0EEEC}"/>
    <hyperlink ref="H132" r:id="rId14" xr:uid="{236FDCDE-F3A8-470F-BA40-D7FF1E4028F2}"/>
    <hyperlink ref="H227" r:id="rId15" xr:uid="{B6416543-C8A8-476D-B98D-B52D768BF3CC}"/>
    <hyperlink ref="H108" r:id="rId16" xr:uid="{7F15E704-A467-477A-A0BD-77B8BC6CE7D1}"/>
    <hyperlink ref="H169" r:id="rId17" xr:uid="{B3A7A7F6-86DE-4A0C-B328-D4D39E82D961}"/>
    <hyperlink ref="H111" r:id="rId18" xr:uid="{790D0180-99CE-46F0-8FDD-69D017753447}"/>
    <hyperlink ref="H254" r:id="rId19" xr:uid="{5438531B-CCC0-45FD-B26F-876AD573FF3D}"/>
    <hyperlink ref="H204" r:id="rId20" xr:uid="{B8C9C05E-B2EE-4CBB-AE53-A07E12CBEE0B}"/>
    <hyperlink ref="H275" r:id="rId21" xr:uid="{D2930071-07E3-4311-9AF5-E75139546551}"/>
    <hyperlink ref="H43" r:id="rId22" xr:uid="{FFCA0B05-3F07-4835-8A1C-BFBB4E492B29}"/>
    <hyperlink ref="H277" r:id="rId23" xr:uid="{165F7151-B561-4478-935A-1FF3AEDDB266}"/>
    <hyperlink ref="H276" r:id="rId24" xr:uid="{84A8CD68-FF6B-40AB-9116-163DF37FCFCF}"/>
    <hyperlink ref="H278" r:id="rId25" xr:uid="{ABF77F0D-9E40-4513-B146-6BCFCE0F916C}"/>
    <hyperlink ref="H279" r:id="rId26" xr:uid="{D45FF153-B5D5-4F85-996D-24A4F78A1703}"/>
    <hyperlink ref="H280" r:id="rId27" xr:uid="{57BCE4EE-F6DD-4E55-86BB-7061CD850469}"/>
    <hyperlink ref="H281" r:id="rId28" xr:uid="{738CA5F9-DCEC-482D-86AE-166BF787B895}"/>
    <hyperlink ref="H282" r:id="rId29" xr:uid="{44C2A242-D180-4ED2-90CA-922445D40269}"/>
    <hyperlink ref="H283" r:id="rId30" xr:uid="{C72F1FD5-8766-4633-8E29-94F5652A8295}"/>
    <hyperlink ref="I238" r:id="rId31" xr:uid="{6F1EF23F-9D52-E84E-ADBC-3D9DCA818E2B}"/>
    <hyperlink ref="I17" r:id="rId32" xr:uid="{78DAAA5A-7DAE-024C-A9E2-3B377BCB019A}"/>
    <hyperlink ref="I79" r:id="rId33" xr:uid="{04D76070-A115-CF4E-995A-327C8B2DB2E2}"/>
    <hyperlink ref="I13" r:id="rId34" xr:uid="{BF9D55D0-F7B1-E145-8443-84859787AAAA}"/>
    <hyperlink ref="I156" r:id="rId35" xr:uid="{FA9E5DC9-257C-EE48-A91D-0D7F446674B5}"/>
    <hyperlink ref="I203" r:id="rId36" xr:uid="{69BC95E9-DBEF-914B-A4D5-F75098E17F66}"/>
    <hyperlink ref="I163" r:id="rId37" xr:uid="{44EEDD5E-1CB3-214D-8B9E-D344033703A5}"/>
    <hyperlink ref="I101" r:id="rId38" xr:uid="{448511F1-9F62-A041-9A8E-3C5F215DF609}"/>
    <hyperlink ref="I27" r:id="rId39" xr:uid="{634B8CBE-7A29-464A-ABA9-E8E1224C5F67}"/>
    <hyperlink ref="I228" r:id="rId40" xr:uid="{C632F988-7BB8-4640-BCF5-491D0ABDFB5F}"/>
    <hyperlink ref="I21" r:id="rId41" xr:uid="{BB4A66F1-3444-104A-8478-652D60F30BD0}"/>
    <hyperlink ref="I38" r:id="rId42" xr:uid="{5B407735-140C-B64F-AAA4-F0C0174DC409}"/>
    <hyperlink ref="I132" r:id="rId43" xr:uid="{0B48F301-6A8D-7648-A2F7-31449F41F5C5}"/>
    <hyperlink ref="I227" r:id="rId44" xr:uid="{4149ED83-1150-C84A-B903-56B0B9398C69}"/>
    <hyperlink ref="I108" r:id="rId45" xr:uid="{6C027E80-0D75-6447-8A84-DAEAB9CDA324}"/>
    <hyperlink ref="I169" r:id="rId46" xr:uid="{DD8D02C8-DA6C-DF42-84C5-51B692DDFAC8}"/>
    <hyperlink ref="I111" r:id="rId47" xr:uid="{26F0041B-3290-CC40-ABA1-8179745FEBAD}"/>
    <hyperlink ref="I254" r:id="rId48" xr:uid="{DAC7CF5D-4EA8-F347-B84A-AE9F7FAA02AD}"/>
    <hyperlink ref="I204" r:id="rId49" xr:uid="{AC8BA969-C69D-6E48-8DFF-D76E0C73175E}"/>
    <hyperlink ref="I275" r:id="rId50" xr:uid="{6E49489A-C81F-1044-AD5B-8ACE2648F625}"/>
    <hyperlink ref="I43" r:id="rId51" xr:uid="{CEE71420-C917-C04C-8F90-A325C47F4E99}"/>
    <hyperlink ref="I277" r:id="rId52" xr:uid="{51FD92CA-C36E-8844-9368-5B630A242C50}"/>
    <hyperlink ref="I276" r:id="rId53" xr:uid="{3655E864-D5E4-214B-852D-F030C679A1AA}"/>
    <hyperlink ref="I278" r:id="rId54" xr:uid="{BA051CBE-22B4-6342-92CD-D45783B966C5}"/>
    <hyperlink ref="I279" r:id="rId55" xr:uid="{B6A91F6E-8000-EF49-9346-D0C9078C7736}"/>
    <hyperlink ref="I280" r:id="rId56" xr:uid="{0EB46DE0-51F8-7B45-89C9-2E3D4D22C6D8}"/>
    <hyperlink ref="I281" r:id="rId57" xr:uid="{A154CF84-6A23-344B-B506-6096B0B633A5}"/>
    <hyperlink ref="I282" r:id="rId58" xr:uid="{05BEB936-8D0A-A64D-AB4E-2D6628C261AC}"/>
    <hyperlink ref="I283" r:id="rId59" xr:uid="{C14D9D76-B666-2343-A4BD-8DCC9C7F8389}"/>
  </hyperlinks>
  <pageMargins left="0.7" right="0.7" top="0.75" bottom="0.75" header="0.3" footer="0.3"/>
  <pageSetup paperSize="9" scale="80" fitToWidth="0" fitToHeight="0" orientation="landscape" blackAndWhite="1"/>
  <headerFooter>
    <oddFooter>&amp;R_x000D_&amp;1#&amp;"Calibri"&amp;8&amp;K000000 Cisco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6103-CD2F-4AD0-A811-257410E0920C}">
  <dimension ref="A1:Q63"/>
  <sheetViews>
    <sheetView showGridLines="0" workbookViewId="0">
      <pane ySplit="1" topLeftCell="A33" activePane="bottomLeft" state="frozen"/>
      <selection pane="bottomLeft" activeCell="O47" sqref="O46:O47"/>
    </sheetView>
  </sheetViews>
  <sheetFormatPr baseColWidth="10" defaultColWidth="9.1640625" defaultRowHeight="15" customHeight="1"/>
  <cols>
    <col min="1" max="1" width="16.33203125" style="10" customWidth="1"/>
    <col min="2" max="2" width="16.33203125" style="48" customWidth="1"/>
    <col min="3" max="4" width="13.1640625" style="76" customWidth="1"/>
    <col min="5" max="5" width="22.83203125" style="76" customWidth="1"/>
    <col min="6" max="7" width="16.33203125" style="76" customWidth="1"/>
    <col min="8" max="8" width="13" style="7" bestFit="1" customWidth="1"/>
    <col min="9" max="9" width="10.33203125" style="76" bestFit="1" customWidth="1"/>
    <col min="10" max="10" width="9.33203125" style="9" bestFit="1" customWidth="1"/>
    <col min="11" max="11" width="9.6640625" style="76" bestFit="1" customWidth="1"/>
    <col min="12" max="16384" width="9.1640625" style="7"/>
  </cols>
  <sheetData>
    <row r="1" spans="1:17" s="10" customFormat="1" ht="32">
      <c r="A1" s="62" t="s">
        <v>31</v>
      </c>
      <c r="B1" s="63" t="s">
        <v>32</v>
      </c>
      <c r="C1" s="64" t="s">
        <v>80</v>
      </c>
      <c r="D1" s="64" t="s">
        <v>81</v>
      </c>
      <c r="E1" s="64" t="s">
        <v>33</v>
      </c>
      <c r="F1" s="64" t="s">
        <v>34</v>
      </c>
      <c r="G1" s="64" t="s">
        <v>82</v>
      </c>
      <c r="H1" s="64" t="s">
        <v>35</v>
      </c>
      <c r="I1" s="65" t="s">
        <v>77</v>
      </c>
      <c r="J1" s="74" t="s">
        <v>12</v>
      </c>
      <c r="K1" s="65" t="s">
        <v>84</v>
      </c>
      <c r="Q1" s="7"/>
    </row>
    <row r="2" spans="1:17">
      <c r="A2" s="68">
        <f>_xlfn.XLOOKUP(E2,'ALL MEMBERS x1'!C:C,'ALL MEMBERS x1'!Q:Q)</f>
        <v>2</v>
      </c>
      <c r="B2" s="69">
        <v>45776</v>
      </c>
      <c r="C2" s="70">
        <v>0.79524305555555552</v>
      </c>
      <c r="D2" s="43" t="s">
        <v>117</v>
      </c>
      <c r="E2" s="43" t="s">
        <v>118</v>
      </c>
      <c r="F2" s="43" t="s">
        <v>38</v>
      </c>
      <c r="G2" s="43" t="s">
        <v>119</v>
      </c>
      <c r="H2" s="43" t="s">
        <v>120</v>
      </c>
      <c r="I2" s="71">
        <v>5</v>
      </c>
      <c r="J2" s="67">
        <v>-0.45</v>
      </c>
      <c r="K2" s="71">
        <v>4.55</v>
      </c>
    </row>
    <row r="3" spans="1:17">
      <c r="A3" s="68">
        <f>_xlfn.XLOOKUP(E3,'ALL MEMBERS x1'!C:C,'ALL MEMBERS x1'!Q:Q)</f>
        <v>74</v>
      </c>
      <c r="B3" s="69">
        <v>45776</v>
      </c>
      <c r="C3" s="70">
        <v>0.81466435185185182</v>
      </c>
      <c r="D3" s="43" t="s">
        <v>117</v>
      </c>
      <c r="E3" s="43" t="s">
        <v>1414</v>
      </c>
      <c r="F3" s="43" t="s">
        <v>38</v>
      </c>
      <c r="G3" s="43" t="s">
        <v>119</v>
      </c>
      <c r="H3" s="43" t="s">
        <v>120</v>
      </c>
      <c r="I3" s="71">
        <v>5</v>
      </c>
      <c r="J3" s="67">
        <v>-0.45</v>
      </c>
      <c r="K3" s="71">
        <v>4.55</v>
      </c>
    </row>
    <row r="4" spans="1:17">
      <c r="A4" s="68">
        <f>_xlfn.XLOOKUP(E4,'ALL MEMBERS x1'!C:C,'ALL MEMBERS x1'!Q:Q)</f>
        <v>1</v>
      </c>
      <c r="B4" s="69">
        <v>45776</v>
      </c>
      <c r="C4" s="70">
        <v>0.86083333333333334</v>
      </c>
      <c r="D4" s="43" t="s">
        <v>117</v>
      </c>
      <c r="E4" s="43" t="s">
        <v>0</v>
      </c>
      <c r="F4" s="43" t="s">
        <v>38</v>
      </c>
      <c r="G4" s="43" t="s">
        <v>119</v>
      </c>
      <c r="H4" s="43" t="s">
        <v>120</v>
      </c>
      <c r="I4" s="71">
        <v>5</v>
      </c>
      <c r="J4" s="67">
        <v>-0.45</v>
      </c>
      <c r="K4" s="71">
        <v>4.55</v>
      </c>
    </row>
    <row r="5" spans="1:17">
      <c r="A5" s="68">
        <f>_xlfn.XLOOKUP(E5,'ALL MEMBERS x1'!C:C,'ALL MEMBERS x1'!Q:Q)</f>
        <v>87</v>
      </c>
      <c r="B5" s="69">
        <v>45777</v>
      </c>
      <c r="C5" s="70">
        <v>0.2974074074074074</v>
      </c>
      <c r="D5" s="43" t="s">
        <v>117</v>
      </c>
      <c r="E5" s="43" t="s">
        <v>372</v>
      </c>
      <c r="F5" s="43" t="s">
        <v>38</v>
      </c>
      <c r="G5" s="43" t="s">
        <v>119</v>
      </c>
      <c r="H5" s="43" t="s">
        <v>120</v>
      </c>
      <c r="I5" s="71">
        <v>5</v>
      </c>
      <c r="J5" s="67">
        <v>-0.45</v>
      </c>
      <c r="K5" s="71">
        <v>4.55</v>
      </c>
    </row>
    <row r="6" spans="1:17">
      <c r="A6" s="68">
        <f>_xlfn.XLOOKUP(E6,'ALL MEMBERS x1'!C:C,'ALL MEMBERS x1'!Q:Q)</f>
        <v>86</v>
      </c>
      <c r="B6" s="69">
        <v>45777</v>
      </c>
      <c r="C6" s="70">
        <v>0.43118055555555557</v>
      </c>
      <c r="D6" s="43" t="s">
        <v>117</v>
      </c>
      <c r="E6" s="43" t="s">
        <v>1415</v>
      </c>
      <c r="F6" s="43" t="s">
        <v>38</v>
      </c>
      <c r="G6" s="43" t="s">
        <v>119</v>
      </c>
      <c r="H6" s="43" t="s">
        <v>120</v>
      </c>
      <c r="I6" s="71">
        <v>5</v>
      </c>
      <c r="J6" s="67">
        <v>-0.45</v>
      </c>
      <c r="K6" s="71">
        <v>4.55</v>
      </c>
    </row>
    <row r="7" spans="1:17">
      <c r="A7" s="68">
        <f>_xlfn.XLOOKUP(E7,'ALL MEMBERS x1'!C:C,'ALL MEMBERS x1'!Q:Q)</f>
        <v>53</v>
      </c>
      <c r="B7" s="69">
        <v>45777</v>
      </c>
      <c r="C7" s="70">
        <v>0.60240740740740739</v>
      </c>
      <c r="D7" s="43" t="s">
        <v>117</v>
      </c>
      <c r="E7" s="43" t="s">
        <v>1416</v>
      </c>
      <c r="F7" s="43" t="s">
        <v>38</v>
      </c>
      <c r="G7" s="43" t="s">
        <v>119</v>
      </c>
      <c r="H7" s="43" t="s">
        <v>120</v>
      </c>
      <c r="I7" s="71">
        <v>5</v>
      </c>
      <c r="J7" s="67">
        <v>-0.45</v>
      </c>
      <c r="K7" s="71">
        <v>4.55</v>
      </c>
    </row>
    <row r="8" spans="1:17">
      <c r="A8" s="68">
        <f>_xlfn.XLOOKUP(E8,'ALL MEMBERS x1'!C:C,'ALL MEMBERS x1'!Q:Q)</f>
        <v>83</v>
      </c>
      <c r="B8" s="69">
        <v>45777</v>
      </c>
      <c r="C8" s="70">
        <v>0.62630787037037039</v>
      </c>
      <c r="D8" s="43" t="s">
        <v>117</v>
      </c>
      <c r="E8" s="43" t="s">
        <v>1417</v>
      </c>
      <c r="F8" s="43" t="s">
        <v>38</v>
      </c>
      <c r="G8" s="43" t="s">
        <v>119</v>
      </c>
      <c r="H8" s="43" t="s">
        <v>120</v>
      </c>
      <c r="I8" s="71">
        <v>5</v>
      </c>
      <c r="J8" s="67">
        <v>-0.45</v>
      </c>
      <c r="K8" s="71">
        <v>4.55</v>
      </c>
    </row>
    <row r="9" spans="1:17">
      <c r="A9" s="68">
        <f>_xlfn.XLOOKUP(E9,'ALL MEMBERS x1'!C:C,'ALL MEMBERS x1'!Q:Q)</f>
        <v>98</v>
      </c>
      <c r="B9" s="69">
        <v>45779</v>
      </c>
      <c r="C9" s="70">
        <v>0.5138773148148148</v>
      </c>
      <c r="D9" s="43" t="s">
        <v>117</v>
      </c>
      <c r="E9" s="43" t="s">
        <v>1418</v>
      </c>
      <c r="F9" s="43" t="s">
        <v>38</v>
      </c>
      <c r="G9" s="43" t="s">
        <v>119</v>
      </c>
      <c r="H9" s="43" t="s">
        <v>120</v>
      </c>
      <c r="I9" s="71">
        <v>5</v>
      </c>
      <c r="J9" s="67">
        <v>-0.45</v>
      </c>
      <c r="K9" s="71">
        <v>4.55</v>
      </c>
    </row>
    <row r="10" spans="1:17">
      <c r="A10" s="68">
        <f>_xlfn.XLOOKUP(E10,'ALL MEMBERS x1'!C:C,'ALL MEMBERS x1'!Q:Q)</f>
        <v>49</v>
      </c>
      <c r="B10" s="69">
        <v>45780</v>
      </c>
      <c r="C10" s="70">
        <v>0.31450231481481483</v>
      </c>
      <c r="D10" s="43" t="s">
        <v>117</v>
      </c>
      <c r="E10" s="43" t="s">
        <v>1419</v>
      </c>
      <c r="F10" s="43" t="s">
        <v>38</v>
      </c>
      <c r="G10" s="43" t="s">
        <v>119</v>
      </c>
      <c r="H10" s="43" t="s">
        <v>120</v>
      </c>
      <c r="I10" s="71">
        <v>5</v>
      </c>
      <c r="J10" s="67">
        <v>-0.45</v>
      </c>
      <c r="K10" s="71">
        <v>4.55</v>
      </c>
    </row>
    <row r="11" spans="1:17">
      <c r="A11" s="68">
        <f>_xlfn.XLOOKUP(E11,'ALL MEMBERS x1'!C:C,'ALL MEMBERS x1'!Q:Q)</f>
        <v>92</v>
      </c>
      <c r="B11" s="69">
        <v>45780</v>
      </c>
      <c r="C11" s="70">
        <v>0.39502314814814815</v>
      </c>
      <c r="D11" s="43" t="s">
        <v>117</v>
      </c>
      <c r="E11" s="43" t="s">
        <v>1420</v>
      </c>
      <c r="F11" s="43" t="s">
        <v>38</v>
      </c>
      <c r="G11" s="43" t="s">
        <v>119</v>
      </c>
      <c r="H11" s="43" t="s">
        <v>120</v>
      </c>
      <c r="I11" s="71">
        <v>5</v>
      </c>
      <c r="J11" s="67">
        <v>-0.45</v>
      </c>
      <c r="K11" s="71">
        <v>4.55</v>
      </c>
    </row>
    <row r="12" spans="1:17">
      <c r="A12" s="68">
        <f>_xlfn.XLOOKUP(E12,'ALL MEMBERS x1'!C:C,'ALL MEMBERS x1'!Q:Q)</f>
        <v>3</v>
      </c>
      <c r="B12" s="69">
        <v>45782</v>
      </c>
      <c r="C12" s="70">
        <v>0.54189814814814818</v>
      </c>
      <c r="D12" s="43" t="s">
        <v>117</v>
      </c>
      <c r="E12" s="43" t="s">
        <v>343</v>
      </c>
      <c r="F12" s="43" t="s">
        <v>38</v>
      </c>
      <c r="G12" s="43" t="s">
        <v>119</v>
      </c>
      <c r="H12" s="43" t="s">
        <v>120</v>
      </c>
      <c r="I12" s="71">
        <v>5</v>
      </c>
      <c r="J12" s="67">
        <v>-0.45</v>
      </c>
      <c r="K12" s="71">
        <v>4.55</v>
      </c>
    </row>
    <row r="13" spans="1:17">
      <c r="A13" s="68">
        <f>_xlfn.XLOOKUP(E13,'ALL MEMBERS x1'!C:C,'ALL MEMBERS x1'!Q:Q)</f>
        <v>119</v>
      </c>
      <c r="B13" s="69">
        <v>45782</v>
      </c>
      <c r="C13" s="70">
        <v>0.69793981481481482</v>
      </c>
      <c r="D13" s="43" t="s">
        <v>117</v>
      </c>
      <c r="E13" s="43" t="s">
        <v>1421</v>
      </c>
      <c r="F13" s="43" t="s">
        <v>38</v>
      </c>
      <c r="G13" s="43" t="s">
        <v>119</v>
      </c>
      <c r="H13" s="43" t="s">
        <v>120</v>
      </c>
      <c r="I13" s="71">
        <v>5</v>
      </c>
      <c r="J13" s="67">
        <v>-0.45</v>
      </c>
      <c r="K13" s="71">
        <v>4.55</v>
      </c>
    </row>
    <row r="14" spans="1:17">
      <c r="A14" s="68">
        <f>_xlfn.XLOOKUP(E14,'ALL MEMBERS x1'!C:C,'ALL MEMBERS x1'!Q:Q)</f>
        <v>126</v>
      </c>
      <c r="B14" s="69">
        <v>45785</v>
      </c>
      <c r="C14" s="70">
        <v>0.92812499999999998</v>
      </c>
      <c r="D14" s="43" t="s">
        <v>117</v>
      </c>
      <c r="E14" s="43" t="s">
        <v>1422</v>
      </c>
      <c r="F14" s="43" t="s">
        <v>38</v>
      </c>
      <c r="G14" s="43" t="s">
        <v>119</v>
      </c>
      <c r="H14" s="43" t="s">
        <v>120</v>
      </c>
      <c r="I14" s="71">
        <v>5</v>
      </c>
      <c r="J14" s="67">
        <v>-0.45</v>
      </c>
      <c r="K14" s="71">
        <v>4.55</v>
      </c>
    </row>
    <row r="15" spans="1:17">
      <c r="A15" s="68">
        <f>_xlfn.XLOOKUP(E15,'ALL MEMBERS x1'!C:C,'ALL MEMBERS x1'!Q:Q)</f>
        <v>129</v>
      </c>
      <c r="B15" s="69">
        <v>45788</v>
      </c>
      <c r="C15" s="70">
        <v>0.74366898148148153</v>
      </c>
      <c r="D15" s="43" t="s">
        <v>117</v>
      </c>
      <c r="E15" s="43" t="s">
        <v>50</v>
      </c>
      <c r="F15" s="43" t="s">
        <v>38</v>
      </c>
      <c r="G15" s="43" t="s">
        <v>119</v>
      </c>
      <c r="H15" s="43" t="s">
        <v>120</v>
      </c>
      <c r="I15" s="71">
        <v>5</v>
      </c>
      <c r="J15" s="67">
        <v>-0.45</v>
      </c>
      <c r="K15" s="71">
        <v>4.55</v>
      </c>
    </row>
    <row r="16" spans="1:17">
      <c r="A16" s="68">
        <f>_xlfn.XLOOKUP(E16,'ALL MEMBERS x1'!C:C,'ALL MEMBERS x1'!Q:Q)</f>
        <v>172</v>
      </c>
      <c r="B16" s="69">
        <v>45790</v>
      </c>
      <c r="C16" s="70">
        <v>0.48875000000000002</v>
      </c>
      <c r="D16" s="43" t="s">
        <v>117</v>
      </c>
      <c r="E16" s="43" t="s">
        <v>1423</v>
      </c>
      <c r="F16" s="43" t="s">
        <v>38</v>
      </c>
      <c r="G16" s="43" t="s">
        <v>119</v>
      </c>
      <c r="H16" s="43" t="s">
        <v>120</v>
      </c>
      <c r="I16" s="71">
        <v>5</v>
      </c>
      <c r="J16" s="67">
        <v>-0.45</v>
      </c>
      <c r="K16" s="71">
        <v>4.55</v>
      </c>
    </row>
    <row r="17" spans="1:11">
      <c r="A17" s="68">
        <f>_xlfn.XLOOKUP(E17,'ALL MEMBERS x1'!C:C,'ALL MEMBERS x1'!Q:Q)</f>
        <v>127</v>
      </c>
      <c r="B17" s="69">
        <v>45790</v>
      </c>
      <c r="C17" s="70">
        <v>0.71004629629629634</v>
      </c>
      <c r="D17" s="43" t="s">
        <v>117</v>
      </c>
      <c r="E17" s="43" t="s">
        <v>1424</v>
      </c>
      <c r="F17" s="43" t="s">
        <v>38</v>
      </c>
      <c r="G17" s="43" t="s">
        <v>119</v>
      </c>
      <c r="H17" s="43" t="s">
        <v>120</v>
      </c>
      <c r="I17" s="71">
        <v>5</v>
      </c>
      <c r="J17" s="67">
        <v>-0.45</v>
      </c>
      <c r="K17" s="71">
        <v>4.55</v>
      </c>
    </row>
    <row r="18" spans="1:11">
      <c r="A18" s="68">
        <f>_xlfn.XLOOKUP(E18,'ALL MEMBERS x1'!C:C,'ALL MEMBERS x1'!Q:Q)</f>
        <v>54</v>
      </c>
      <c r="B18" s="69">
        <v>45791</v>
      </c>
      <c r="C18" s="70">
        <v>0.46939814814814818</v>
      </c>
      <c r="D18" s="43" t="s">
        <v>117</v>
      </c>
      <c r="E18" s="43" t="s">
        <v>1425</v>
      </c>
      <c r="F18" s="43" t="s">
        <v>38</v>
      </c>
      <c r="G18" s="43" t="s">
        <v>119</v>
      </c>
      <c r="H18" s="43" t="s">
        <v>120</v>
      </c>
      <c r="I18" s="71">
        <v>5</v>
      </c>
      <c r="J18" s="67">
        <v>-0.45</v>
      </c>
      <c r="K18" s="71">
        <v>4.55</v>
      </c>
    </row>
    <row r="19" spans="1:11">
      <c r="A19" s="68">
        <f>_xlfn.XLOOKUP(E19,'ALL MEMBERS x1'!C:C,'ALL MEMBERS x1'!Q:Q)</f>
        <v>132</v>
      </c>
      <c r="B19" s="69">
        <v>45806</v>
      </c>
      <c r="C19" s="70">
        <v>0.73581018518518515</v>
      </c>
      <c r="D19" s="43" t="s">
        <v>117</v>
      </c>
      <c r="E19" s="43" t="s">
        <v>1426</v>
      </c>
      <c r="F19" s="43" t="s">
        <v>38</v>
      </c>
      <c r="G19" s="43" t="s">
        <v>119</v>
      </c>
      <c r="H19" s="43" t="s">
        <v>120</v>
      </c>
      <c r="I19" s="71">
        <v>5</v>
      </c>
      <c r="J19" s="67">
        <v>-0.45</v>
      </c>
      <c r="K19" s="71">
        <v>4.55</v>
      </c>
    </row>
    <row r="20" spans="1:11">
      <c r="A20" s="68">
        <f>_xlfn.XLOOKUP(E20,'ALL MEMBERS x1'!C:C,'ALL MEMBERS x1'!Q:Q)</f>
        <v>139</v>
      </c>
      <c r="B20" s="69">
        <v>45820</v>
      </c>
      <c r="C20" s="70">
        <v>0.67179398148148151</v>
      </c>
      <c r="D20" s="43" t="s">
        <v>117</v>
      </c>
      <c r="E20" s="43" t="s">
        <v>1427</v>
      </c>
      <c r="F20" s="43" t="s">
        <v>38</v>
      </c>
      <c r="G20" s="43" t="s">
        <v>119</v>
      </c>
      <c r="H20" s="43" t="s">
        <v>120</v>
      </c>
      <c r="I20" s="71">
        <v>5</v>
      </c>
      <c r="J20" s="67">
        <v>-0.45</v>
      </c>
      <c r="K20" s="71">
        <v>4.55</v>
      </c>
    </row>
    <row r="21" spans="1:11">
      <c r="A21" s="68">
        <f>_xlfn.XLOOKUP(E21,'ALL MEMBERS x1'!C:C,'ALL MEMBERS x1'!Q:Q)</f>
        <v>51</v>
      </c>
      <c r="B21" s="69">
        <v>45825</v>
      </c>
      <c r="C21" s="70">
        <v>0.70160879629629624</v>
      </c>
      <c r="D21" s="43" t="s">
        <v>117</v>
      </c>
      <c r="E21" s="43" t="s">
        <v>1428</v>
      </c>
      <c r="F21" s="43" t="s">
        <v>38</v>
      </c>
      <c r="G21" s="43" t="s">
        <v>119</v>
      </c>
      <c r="H21" s="43" t="s">
        <v>120</v>
      </c>
      <c r="I21" s="71">
        <v>5</v>
      </c>
      <c r="J21" s="67">
        <v>-0.45</v>
      </c>
      <c r="K21" s="71">
        <v>4.55</v>
      </c>
    </row>
    <row r="22" spans="1:11">
      <c r="A22" s="68">
        <f>_xlfn.XLOOKUP(E22,'ALL MEMBERS x1'!C:C,'ALL MEMBERS x1'!Q:Q)</f>
        <v>133</v>
      </c>
      <c r="B22" s="69">
        <v>45825</v>
      </c>
      <c r="C22" s="70">
        <v>0.70325231481481476</v>
      </c>
      <c r="D22" s="43" t="s">
        <v>117</v>
      </c>
      <c r="E22" s="43" t="s">
        <v>1429</v>
      </c>
      <c r="F22" s="43" t="s">
        <v>38</v>
      </c>
      <c r="G22" s="43" t="s">
        <v>119</v>
      </c>
      <c r="H22" s="43" t="s">
        <v>120</v>
      </c>
      <c r="I22" s="71">
        <v>5</v>
      </c>
      <c r="J22" s="67">
        <v>-0.45</v>
      </c>
      <c r="K22" s="71">
        <v>4.55</v>
      </c>
    </row>
    <row r="23" spans="1:11">
      <c r="A23" s="68">
        <f>_xlfn.XLOOKUP(E23,'ALL MEMBERS x1'!C:C,'ALL MEMBERS x1'!Q:Q)</f>
        <v>9</v>
      </c>
      <c r="B23" s="69">
        <v>45825</v>
      </c>
      <c r="C23" s="70">
        <v>0.73767361111111107</v>
      </c>
      <c r="D23" s="43" t="s">
        <v>117</v>
      </c>
      <c r="E23" s="43" t="s">
        <v>1430</v>
      </c>
      <c r="F23" s="43" t="s">
        <v>38</v>
      </c>
      <c r="G23" s="43" t="s">
        <v>119</v>
      </c>
      <c r="H23" s="43" t="s">
        <v>120</v>
      </c>
      <c r="I23" s="71">
        <v>5</v>
      </c>
      <c r="J23" s="67">
        <v>-0.45</v>
      </c>
      <c r="K23" s="71">
        <v>4.55</v>
      </c>
    </row>
    <row r="24" spans="1:11">
      <c r="A24" s="68">
        <f>_xlfn.XLOOKUP(E24,'ALL MEMBERS x1'!C:C,'ALL MEMBERS x1'!Q:Q)</f>
        <v>122</v>
      </c>
      <c r="B24" s="69">
        <v>45826</v>
      </c>
      <c r="C24" s="70">
        <v>0.12149305555555556</v>
      </c>
      <c r="D24" s="43" t="s">
        <v>117</v>
      </c>
      <c r="E24" s="43" t="s">
        <v>1431</v>
      </c>
      <c r="F24" s="43" t="s">
        <v>38</v>
      </c>
      <c r="G24" s="43" t="s">
        <v>119</v>
      </c>
      <c r="H24" s="43" t="s">
        <v>120</v>
      </c>
      <c r="I24" s="71">
        <v>5</v>
      </c>
      <c r="J24" s="67">
        <v>-0.45</v>
      </c>
      <c r="K24" s="71">
        <v>4.55</v>
      </c>
    </row>
    <row r="25" spans="1:11">
      <c r="A25" s="68">
        <f>_xlfn.XLOOKUP(E25,'ALL MEMBERS x1'!C:C,'ALL MEMBERS x1'!Q:Q)</f>
        <v>130</v>
      </c>
      <c r="B25" s="69">
        <v>45826</v>
      </c>
      <c r="C25" s="70">
        <v>0.27871527777777777</v>
      </c>
      <c r="D25" s="43" t="s">
        <v>117</v>
      </c>
      <c r="E25" s="43" t="s">
        <v>179</v>
      </c>
      <c r="F25" s="43" t="s">
        <v>38</v>
      </c>
      <c r="G25" s="43" t="s">
        <v>119</v>
      </c>
      <c r="H25" s="43" t="s">
        <v>120</v>
      </c>
      <c r="I25" s="71">
        <v>5</v>
      </c>
      <c r="J25" s="67">
        <v>-0.45</v>
      </c>
      <c r="K25" s="71">
        <v>4.55</v>
      </c>
    </row>
    <row r="26" spans="1:11">
      <c r="A26" s="68">
        <f>_xlfn.XLOOKUP(E26,'ALL MEMBERS x1'!C:C,'ALL MEMBERS x1'!Q:Q)</f>
        <v>12</v>
      </c>
      <c r="B26" s="69">
        <v>45826</v>
      </c>
      <c r="C26" s="70">
        <v>0.53658564814814813</v>
      </c>
      <c r="D26" s="43" t="s">
        <v>117</v>
      </c>
      <c r="E26" s="43" t="s">
        <v>302</v>
      </c>
      <c r="F26" s="43" t="s">
        <v>38</v>
      </c>
      <c r="G26" s="43" t="s">
        <v>119</v>
      </c>
      <c r="H26" s="43" t="s">
        <v>120</v>
      </c>
      <c r="I26" s="71">
        <v>5</v>
      </c>
      <c r="J26" s="67">
        <v>-0.45</v>
      </c>
      <c r="K26" s="71">
        <v>4.55</v>
      </c>
    </row>
    <row r="27" spans="1:11">
      <c r="A27" s="68">
        <f>_xlfn.XLOOKUP(E27,'ALL MEMBERS x1'!C:C,'ALL MEMBERS x1'!Q:Q)</f>
        <v>150</v>
      </c>
      <c r="B27" s="69">
        <v>45827</v>
      </c>
      <c r="C27" s="70">
        <v>0.698125</v>
      </c>
      <c r="D27" s="43" t="s">
        <v>117</v>
      </c>
      <c r="E27" s="43" t="s">
        <v>1432</v>
      </c>
      <c r="F27" s="43" t="s">
        <v>38</v>
      </c>
      <c r="G27" s="43" t="s">
        <v>119</v>
      </c>
      <c r="H27" s="43" t="s">
        <v>120</v>
      </c>
      <c r="I27" s="71">
        <v>5</v>
      </c>
      <c r="J27" s="67">
        <v>-0.45</v>
      </c>
      <c r="K27" s="71">
        <v>4.55</v>
      </c>
    </row>
    <row r="28" spans="1:11" s="8" customFormat="1">
      <c r="A28" s="68">
        <f>_xlfn.XLOOKUP(E28,'ALL MEMBERS x1'!C:C,'ALL MEMBERS x1'!Q:Q)</f>
        <v>150</v>
      </c>
      <c r="B28" s="69">
        <v>45827</v>
      </c>
      <c r="C28" s="70">
        <v>0.70094907407407403</v>
      </c>
      <c r="D28" s="43" t="s">
        <v>117</v>
      </c>
      <c r="E28" s="43" t="s">
        <v>1432</v>
      </c>
      <c r="F28" s="43" t="s">
        <v>51</v>
      </c>
      <c r="G28" s="43" t="s">
        <v>119</v>
      </c>
      <c r="H28" s="43" t="s">
        <v>120</v>
      </c>
      <c r="I28" s="71">
        <v>5</v>
      </c>
      <c r="J28" s="67">
        <v>-0.45</v>
      </c>
      <c r="K28" s="71">
        <v>4.55</v>
      </c>
    </row>
    <row r="29" spans="1:11">
      <c r="A29" s="68">
        <f>_xlfn.XLOOKUP(E29,'ALL MEMBERS x1'!C:C,'ALL MEMBERS x1'!Q:Q)</f>
        <v>36</v>
      </c>
      <c r="B29" s="69">
        <v>45831</v>
      </c>
      <c r="C29" s="70">
        <v>0.58569444444444441</v>
      </c>
      <c r="D29" s="43" t="s">
        <v>117</v>
      </c>
      <c r="E29" s="43" t="s">
        <v>1433</v>
      </c>
      <c r="F29" s="43" t="s">
        <v>38</v>
      </c>
      <c r="G29" s="43" t="s">
        <v>119</v>
      </c>
      <c r="H29" s="43" t="s">
        <v>120</v>
      </c>
      <c r="I29" s="71">
        <v>5</v>
      </c>
      <c r="J29" s="67">
        <v>-0.45</v>
      </c>
      <c r="K29" s="71">
        <v>4.55</v>
      </c>
    </row>
    <row r="30" spans="1:11">
      <c r="A30" s="68">
        <f>_xlfn.XLOOKUP(E30,'ALL MEMBERS x1'!C:C,'ALL MEMBERS x1'!Q:Q)</f>
        <v>45</v>
      </c>
      <c r="B30" s="69">
        <v>45831</v>
      </c>
      <c r="C30" s="70">
        <v>0.81303240740740745</v>
      </c>
      <c r="D30" s="43" t="s">
        <v>117</v>
      </c>
      <c r="E30" s="43" t="s">
        <v>1434</v>
      </c>
      <c r="F30" s="43" t="s">
        <v>38</v>
      </c>
      <c r="G30" s="43" t="s">
        <v>119</v>
      </c>
      <c r="H30" s="43" t="s">
        <v>120</v>
      </c>
      <c r="I30" s="71">
        <v>5</v>
      </c>
      <c r="J30" s="67">
        <v>-0.45</v>
      </c>
      <c r="K30" s="71">
        <v>4.55</v>
      </c>
    </row>
    <row r="31" spans="1:11">
      <c r="A31" s="68">
        <f>_xlfn.XLOOKUP(E31,'ALL MEMBERS x1'!C:C,'ALL MEMBERS x1'!Q:Q)</f>
        <v>176</v>
      </c>
      <c r="B31" s="69">
        <v>45833</v>
      </c>
      <c r="C31" s="70">
        <v>0.49756944444444445</v>
      </c>
      <c r="D31" s="43" t="s">
        <v>117</v>
      </c>
      <c r="E31" s="43" t="s">
        <v>1435</v>
      </c>
      <c r="F31" s="43" t="s">
        <v>38</v>
      </c>
      <c r="G31" s="43" t="s">
        <v>119</v>
      </c>
      <c r="H31" s="43" t="s">
        <v>120</v>
      </c>
      <c r="I31" s="71">
        <v>5</v>
      </c>
      <c r="J31" s="67">
        <v>-0.45</v>
      </c>
      <c r="K31" s="71">
        <v>4.55</v>
      </c>
    </row>
    <row r="32" spans="1:11">
      <c r="A32" s="68">
        <f>_xlfn.XLOOKUP(E32,'ALL MEMBERS x1'!C:C,'ALL MEMBERS x1'!Q:Q)</f>
        <v>144</v>
      </c>
      <c r="B32" s="69">
        <v>45834</v>
      </c>
      <c r="C32" s="70">
        <v>0.4599421296296296</v>
      </c>
      <c r="D32" s="43" t="s">
        <v>117</v>
      </c>
      <c r="E32" s="43" t="s">
        <v>1436</v>
      </c>
      <c r="F32" s="43" t="s">
        <v>38</v>
      </c>
      <c r="G32" s="43" t="s">
        <v>119</v>
      </c>
      <c r="H32" s="43" t="s">
        <v>120</v>
      </c>
      <c r="I32" s="71">
        <v>5</v>
      </c>
      <c r="J32" s="67">
        <v>-0.45</v>
      </c>
      <c r="K32" s="71">
        <v>4.55</v>
      </c>
    </row>
    <row r="33" spans="1:11">
      <c r="A33" s="68">
        <f>_xlfn.XLOOKUP(E33,'ALL MEMBERS x1'!C:C,'ALL MEMBERS x1'!Q:Q)</f>
        <v>134</v>
      </c>
      <c r="B33" s="69">
        <v>45834</v>
      </c>
      <c r="C33" s="70">
        <v>0.69467592592592597</v>
      </c>
      <c r="D33" s="43" t="s">
        <v>117</v>
      </c>
      <c r="E33" s="43" t="s">
        <v>1437</v>
      </c>
      <c r="F33" s="43" t="s">
        <v>38</v>
      </c>
      <c r="G33" s="43" t="s">
        <v>119</v>
      </c>
      <c r="H33" s="43" t="s">
        <v>120</v>
      </c>
      <c r="I33" s="71">
        <v>5</v>
      </c>
      <c r="J33" s="67">
        <v>-0.45</v>
      </c>
      <c r="K33" s="71">
        <v>4.55</v>
      </c>
    </row>
    <row r="34" spans="1:11">
      <c r="A34" s="68">
        <f>_xlfn.XLOOKUP(E34,'ALL MEMBERS x1'!C:C,'ALL MEMBERS x1'!Q:Q)</f>
        <v>177</v>
      </c>
      <c r="B34" s="69">
        <v>45838</v>
      </c>
      <c r="C34" s="70">
        <v>0.5288194444444444</v>
      </c>
      <c r="D34" s="43" t="s">
        <v>117</v>
      </c>
      <c r="E34" s="43" t="s">
        <v>1438</v>
      </c>
      <c r="F34" s="43" t="s">
        <v>38</v>
      </c>
      <c r="G34" s="43" t="s">
        <v>119</v>
      </c>
      <c r="H34" s="43" t="s">
        <v>120</v>
      </c>
      <c r="I34" s="71">
        <v>5</v>
      </c>
      <c r="J34" s="67">
        <v>-0.45</v>
      </c>
      <c r="K34" s="71">
        <v>4.55</v>
      </c>
    </row>
    <row r="35" spans="1:11">
      <c r="A35" s="68">
        <f>_xlfn.XLOOKUP(E35,'ALL MEMBERS x1'!C:C,'ALL MEMBERS x1'!Q:Q)</f>
        <v>40</v>
      </c>
      <c r="B35" s="69">
        <v>45840</v>
      </c>
      <c r="C35" s="70">
        <v>0.41002314814814816</v>
      </c>
      <c r="D35" s="43" t="s">
        <v>117</v>
      </c>
      <c r="E35" s="43" t="s">
        <v>1439</v>
      </c>
      <c r="F35" s="43" t="s">
        <v>38</v>
      </c>
      <c r="G35" s="43" t="s">
        <v>119</v>
      </c>
      <c r="H35" s="43" t="s">
        <v>120</v>
      </c>
      <c r="I35" s="71">
        <v>5</v>
      </c>
      <c r="J35" s="67">
        <v>-0.45</v>
      </c>
      <c r="K35" s="71">
        <v>4.55</v>
      </c>
    </row>
    <row r="36" spans="1:11">
      <c r="A36" s="144">
        <f>_xlfn.XLOOKUP(E36,'ALL MEMBERS x1'!C:C,'ALL MEMBERS x1'!Q:Q)</f>
        <v>39</v>
      </c>
      <c r="B36" s="145">
        <v>45847</v>
      </c>
      <c r="C36" s="146">
        <v>0.38686342592592593</v>
      </c>
      <c r="D36" s="141" t="s">
        <v>117</v>
      </c>
      <c r="E36" s="141" t="s">
        <v>1440</v>
      </c>
      <c r="F36" s="141" t="s">
        <v>38</v>
      </c>
      <c r="G36" s="141" t="s">
        <v>119</v>
      </c>
      <c r="H36" s="141" t="s">
        <v>120</v>
      </c>
      <c r="I36" s="142">
        <v>5</v>
      </c>
      <c r="J36" s="143">
        <v>-0.45</v>
      </c>
      <c r="K36" s="142">
        <v>4.55</v>
      </c>
    </row>
    <row r="37" spans="1:11">
      <c r="A37" s="68">
        <f>_xlfn.XLOOKUP(E37,'ALL MEMBERS x1'!C:C,'ALL MEMBERS x1'!Q:Q)</f>
        <v>179</v>
      </c>
      <c r="B37" s="69">
        <v>45850</v>
      </c>
      <c r="C37" s="70">
        <v>0.61922453703703706</v>
      </c>
      <c r="D37" s="43" t="s">
        <v>117</v>
      </c>
      <c r="E37" s="43" t="s">
        <v>1441</v>
      </c>
      <c r="F37" s="43" t="s">
        <v>38</v>
      </c>
      <c r="G37" s="43" t="s">
        <v>119</v>
      </c>
      <c r="H37" s="43" t="s">
        <v>120</v>
      </c>
      <c r="I37" s="71">
        <v>5</v>
      </c>
      <c r="J37" s="67">
        <v>-0.45</v>
      </c>
      <c r="K37" s="71">
        <v>4.55</v>
      </c>
    </row>
    <row r="38" spans="1:11">
      <c r="A38" s="68">
        <f>_xlfn.XLOOKUP(E38,'ALL MEMBERS x1'!C:C,'ALL MEMBERS x1'!Q:Q)</f>
        <v>94</v>
      </c>
      <c r="B38" s="69">
        <v>45859</v>
      </c>
      <c r="C38" s="70">
        <v>0.3268402777777778</v>
      </c>
      <c r="D38" s="43" t="s">
        <v>117</v>
      </c>
      <c r="E38" s="43" t="s">
        <v>1442</v>
      </c>
      <c r="F38" s="43" t="s">
        <v>38</v>
      </c>
      <c r="G38" s="43" t="s">
        <v>119</v>
      </c>
      <c r="H38" s="43" t="s">
        <v>120</v>
      </c>
      <c r="I38" s="71">
        <v>5</v>
      </c>
      <c r="J38" s="67">
        <v>-0.45</v>
      </c>
      <c r="K38" s="71">
        <v>4.55</v>
      </c>
    </row>
    <row r="39" spans="1:11">
      <c r="A39" s="68">
        <f>_xlfn.XLOOKUP(E39,'ALL MEMBERS x1'!C:C,'ALL MEMBERS x1'!Q:Q)</f>
        <v>33</v>
      </c>
      <c r="B39" s="69">
        <v>45891</v>
      </c>
      <c r="C39" s="70">
        <v>0.78226851851851853</v>
      </c>
      <c r="D39" s="43" t="s">
        <v>117</v>
      </c>
      <c r="E39" s="43" t="s">
        <v>1443</v>
      </c>
      <c r="F39" s="43" t="s">
        <v>38</v>
      </c>
      <c r="G39" s="43" t="s">
        <v>119</v>
      </c>
      <c r="H39" s="43" t="s">
        <v>120</v>
      </c>
      <c r="I39" s="71">
        <v>5</v>
      </c>
      <c r="J39" s="67">
        <v>-0.45</v>
      </c>
      <c r="K39" s="71">
        <v>4.55</v>
      </c>
    </row>
    <row r="40" spans="1:11">
      <c r="A40" s="68">
        <f>_xlfn.XLOOKUP(E40,'ALL MEMBERS x1'!C:C,'ALL MEMBERS x1'!Q:Q)</f>
        <v>183</v>
      </c>
      <c r="B40" s="69">
        <v>45895</v>
      </c>
      <c r="C40" s="70">
        <v>0.64756944444444442</v>
      </c>
      <c r="D40" s="43" t="s">
        <v>117</v>
      </c>
      <c r="E40" s="43" t="s">
        <v>1444</v>
      </c>
      <c r="F40" s="43" t="s">
        <v>38</v>
      </c>
      <c r="G40" s="43" t="s">
        <v>119</v>
      </c>
      <c r="H40" s="43" t="s">
        <v>120</v>
      </c>
      <c r="I40" s="71">
        <v>5</v>
      </c>
      <c r="J40" s="67">
        <v>-0.45</v>
      </c>
      <c r="K40" s="71">
        <v>4.55</v>
      </c>
    </row>
    <row r="41" spans="1:11">
      <c r="A41" s="68">
        <f>_xlfn.XLOOKUP(E41,'ALL MEMBERS x1'!C:C,'ALL MEMBERS x1'!Q:Q)</f>
        <v>185</v>
      </c>
      <c r="B41" s="69">
        <v>45905</v>
      </c>
      <c r="C41" s="70">
        <v>0.83870370370370373</v>
      </c>
      <c r="D41" s="43" t="s">
        <v>117</v>
      </c>
      <c r="E41" s="43" t="s">
        <v>1445</v>
      </c>
      <c r="F41" s="43" t="s">
        <v>38</v>
      </c>
      <c r="G41" s="43" t="s">
        <v>119</v>
      </c>
      <c r="H41" s="43" t="s">
        <v>120</v>
      </c>
      <c r="I41" s="71">
        <v>5</v>
      </c>
      <c r="J41" s="67">
        <v>-0.45</v>
      </c>
      <c r="K41" s="71">
        <v>4.55</v>
      </c>
    </row>
    <row r="42" spans="1:11">
      <c r="A42" s="68">
        <f>_xlfn.XLOOKUP(E42,'ALL MEMBERS x1'!C:C,'ALL MEMBERS x1'!Q:Q)</f>
        <v>195</v>
      </c>
      <c r="B42" s="69">
        <v>45909</v>
      </c>
      <c r="C42" s="70">
        <v>0.82306712962962958</v>
      </c>
      <c r="D42" s="43" t="s">
        <v>117</v>
      </c>
      <c r="E42" s="43" t="s">
        <v>1446</v>
      </c>
      <c r="F42" s="43" t="s">
        <v>38</v>
      </c>
      <c r="G42" s="43" t="s">
        <v>119</v>
      </c>
      <c r="H42" s="43" t="s">
        <v>120</v>
      </c>
      <c r="I42" s="71">
        <v>5</v>
      </c>
      <c r="J42" s="67">
        <v>-0.45</v>
      </c>
      <c r="K42" s="71">
        <v>4.55</v>
      </c>
    </row>
    <row r="43" spans="1:11">
      <c r="A43" s="68">
        <f>_xlfn.XLOOKUP(E43,'ALL MEMBERS x1'!C:C,'ALL MEMBERS x1'!Q:Q)</f>
        <v>196</v>
      </c>
      <c r="B43" s="69">
        <v>45915</v>
      </c>
      <c r="C43" s="70">
        <v>0.82281249999999995</v>
      </c>
      <c r="D43" s="43" t="s">
        <v>117</v>
      </c>
      <c r="E43" s="43" t="s">
        <v>1447</v>
      </c>
      <c r="F43" s="43" t="s">
        <v>38</v>
      </c>
      <c r="G43" s="43" t="s">
        <v>119</v>
      </c>
      <c r="H43" s="43" t="s">
        <v>120</v>
      </c>
      <c r="I43" s="71">
        <v>5</v>
      </c>
      <c r="J43" s="67">
        <v>-0.45</v>
      </c>
      <c r="K43" s="71">
        <v>4.55</v>
      </c>
    </row>
    <row r="44" spans="1:11">
      <c r="A44" s="68">
        <f>_xlfn.XLOOKUP(E44,'ALL MEMBERS x1'!C:C,'ALL MEMBERS x1'!Q:Q)</f>
        <v>208</v>
      </c>
      <c r="B44" s="69">
        <v>45916</v>
      </c>
      <c r="C44" s="70">
        <v>0.42734953703703704</v>
      </c>
      <c r="D44" s="43" t="s">
        <v>117</v>
      </c>
      <c r="E44" s="43" t="s">
        <v>1448</v>
      </c>
      <c r="F44" s="43" t="s">
        <v>38</v>
      </c>
      <c r="G44" s="43" t="s">
        <v>119</v>
      </c>
      <c r="H44" s="43" t="s">
        <v>120</v>
      </c>
      <c r="I44" s="71">
        <v>5</v>
      </c>
      <c r="J44" s="67">
        <v>-0.45</v>
      </c>
      <c r="K44" s="71">
        <v>4.55</v>
      </c>
    </row>
    <row r="45" spans="1:11">
      <c r="A45" s="68">
        <f>_xlfn.XLOOKUP(E45,'ALL MEMBERS x1'!C:C,'ALL MEMBERS x1'!Q:Q)</f>
        <v>210</v>
      </c>
      <c r="B45" s="69">
        <v>45927</v>
      </c>
      <c r="C45" s="70">
        <v>0.58215277777777774</v>
      </c>
      <c r="D45" s="43" t="s">
        <v>117</v>
      </c>
      <c r="E45" s="43" t="s">
        <v>1449</v>
      </c>
      <c r="F45" s="43" t="s">
        <v>38</v>
      </c>
      <c r="G45" s="43" t="s">
        <v>119</v>
      </c>
      <c r="H45" s="43" t="s">
        <v>120</v>
      </c>
      <c r="I45" s="71">
        <v>5</v>
      </c>
      <c r="J45" s="67">
        <v>-0.45</v>
      </c>
      <c r="K45" s="71">
        <v>4.55</v>
      </c>
    </row>
    <row r="46" spans="1:11" s="8" customFormat="1">
      <c r="A46" s="68">
        <f>_xlfn.XLOOKUP(E46,'ALL MEMBERS x1'!C:C,'ALL MEMBERS x1'!Q:Q)</f>
        <v>210</v>
      </c>
      <c r="B46" s="69">
        <v>45927</v>
      </c>
      <c r="C46" s="70">
        <v>0.59130787037037036</v>
      </c>
      <c r="D46" s="43" t="s">
        <v>117</v>
      </c>
      <c r="E46" s="43" t="s">
        <v>1449</v>
      </c>
      <c r="F46" s="43" t="s">
        <v>51</v>
      </c>
      <c r="G46" s="43" t="s">
        <v>119</v>
      </c>
      <c r="H46" s="43" t="s">
        <v>120</v>
      </c>
      <c r="I46" s="71">
        <v>25</v>
      </c>
      <c r="J46" s="67">
        <v>-1.03</v>
      </c>
      <c r="K46" s="71">
        <v>23.97</v>
      </c>
    </row>
    <row r="47" spans="1:11">
      <c r="A47" s="68">
        <f>_xlfn.XLOOKUP(E47,'ALL MEMBERS x1'!C:C,'ALL MEMBERS x1'!Q:Q)</f>
        <v>220</v>
      </c>
      <c r="B47" s="69">
        <v>45927</v>
      </c>
      <c r="C47" s="70">
        <v>0.70552083333333337</v>
      </c>
      <c r="D47" s="43" t="s">
        <v>117</v>
      </c>
      <c r="E47" s="43" t="s">
        <v>1450</v>
      </c>
      <c r="F47" s="43" t="s">
        <v>38</v>
      </c>
      <c r="G47" s="43" t="s">
        <v>119</v>
      </c>
      <c r="H47" s="43" t="s">
        <v>120</v>
      </c>
      <c r="I47" s="71">
        <v>5</v>
      </c>
      <c r="J47" s="67">
        <v>-0.45</v>
      </c>
      <c r="K47" s="71">
        <v>4.55</v>
      </c>
    </row>
    <row r="48" spans="1:11">
      <c r="A48" s="68">
        <f>_xlfn.XLOOKUP(E48,'ALL MEMBERS x1'!C:C,'ALL MEMBERS x1'!Q:Q)</f>
        <v>238</v>
      </c>
      <c r="B48" s="69">
        <v>45931</v>
      </c>
      <c r="C48" s="70">
        <v>0.78302083333333339</v>
      </c>
      <c r="D48" s="43" t="s">
        <v>117</v>
      </c>
      <c r="E48" s="43" t="s">
        <v>265</v>
      </c>
      <c r="F48" s="43" t="s">
        <v>38</v>
      </c>
      <c r="G48" s="43" t="s">
        <v>119</v>
      </c>
      <c r="H48" s="43" t="s">
        <v>120</v>
      </c>
      <c r="I48" s="71">
        <v>5</v>
      </c>
      <c r="J48" s="67">
        <v>-0.45</v>
      </c>
      <c r="K48" s="71">
        <v>4.55</v>
      </c>
    </row>
    <row r="49" spans="1:11">
      <c r="A49" s="68">
        <f>_xlfn.XLOOKUP(E49,'ALL MEMBERS x1'!C:C,'ALL MEMBERS x1'!Q:Q)</f>
        <v>217</v>
      </c>
      <c r="B49" s="69">
        <v>45934</v>
      </c>
      <c r="C49" s="70">
        <v>0.69504629629629633</v>
      </c>
      <c r="D49" s="43" t="s">
        <v>117</v>
      </c>
      <c r="E49" s="43" t="s">
        <v>1451</v>
      </c>
      <c r="F49" s="43" t="s">
        <v>38</v>
      </c>
      <c r="G49" s="43" t="s">
        <v>119</v>
      </c>
      <c r="H49" s="43" t="s">
        <v>120</v>
      </c>
      <c r="I49" s="71">
        <v>5</v>
      </c>
      <c r="J49" s="67">
        <v>-0.45</v>
      </c>
      <c r="K49" s="71">
        <v>4.55</v>
      </c>
    </row>
    <row r="50" spans="1:11">
      <c r="A50" s="144">
        <f>_xlfn.XLOOKUP(E50,'ALL MEMBERS x1'!C:C,'ALL MEMBERS x1'!Q:Q)</f>
        <v>249</v>
      </c>
      <c r="B50" s="145">
        <v>45939</v>
      </c>
      <c r="C50" s="146">
        <v>0.47434027777777776</v>
      </c>
      <c r="D50" s="141" t="s">
        <v>117</v>
      </c>
      <c r="E50" s="141" t="s">
        <v>1452</v>
      </c>
      <c r="F50" s="141" t="s">
        <v>38</v>
      </c>
      <c r="G50" s="141" t="s">
        <v>119</v>
      </c>
      <c r="H50" s="141" t="s">
        <v>120</v>
      </c>
      <c r="I50" s="142">
        <v>5</v>
      </c>
      <c r="J50" s="143">
        <v>-0.45</v>
      </c>
      <c r="K50" s="142">
        <v>4.55</v>
      </c>
    </row>
    <row r="51" spans="1:11">
      <c r="A51" s="68"/>
      <c r="B51" s="69"/>
      <c r="C51" s="70"/>
      <c r="D51" s="43"/>
      <c r="E51" s="43"/>
      <c r="F51" s="43"/>
      <c r="G51" s="43"/>
      <c r="H51" s="43"/>
      <c r="I51" s="71"/>
      <c r="J51" s="67"/>
      <c r="K51" s="71"/>
    </row>
    <row r="52" spans="1:11" ht="18.75" customHeight="1">
      <c r="C52" s="7"/>
      <c r="E52" s="7"/>
      <c r="F52" s="7"/>
      <c r="G52" s="7"/>
      <c r="H52" s="11"/>
      <c r="I52" s="12"/>
      <c r="J52" s="75"/>
      <c r="K52" s="12"/>
    </row>
    <row r="53" spans="1:11" ht="18.75" customHeight="1">
      <c r="C53" s="7"/>
      <c r="E53" s="7"/>
      <c r="F53" s="7"/>
      <c r="G53" s="11"/>
      <c r="H53" s="11"/>
      <c r="I53" s="14" t="s">
        <v>77</v>
      </c>
      <c r="J53" s="72" t="s">
        <v>12</v>
      </c>
      <c r="K53" s="14" t="s">
        <v>20</v>
      </c>
    </row>
    <row r="54" spans="1:11" ht="18.75" customHeight="1">
      <c r="C54" s="7"/>
      <c r="E54" s="7"/>
      <c r="F54" s="7"/>
      <c r="G54" s="332" t="s">
        <v>78</v>
      </c>
      <c r="H54" s="333"/>
      <c r="I54" s="13">
        <f>SUMIF(F:F,"membership fee",I:I)</f>
        <v>235</v>
      </c>
      <c r="J54" s="73">
        <f>SUMIF(F:F,"membership fee",J:J)</f>
        <v>-21.149999999999981</v>
      </c>
      <c r="K54" s="13">
        <f>SUMIF(F:F,"membership fee",K:K)</f>
        <v>213.85000000000016</v>
      </c>
    </row>
    <row r="55" spans="1:11" ht="18.75" customHeight="1">
      <c r="C55" s="7"/>
      <c r="E55" s="7"/>
      <c r="F55" s="7"/>
      <c r="G55" s="332" t="s">
        <v>79</v>
      </c>
      <c r="H55" s="333"/>
      <c r="I55" s="13">
        <f>SUMIF(F:F,"donation",I:I)</f>
        <v>30</v>
      </c>
      <c r="J55" s="73">
        <f>SUMIF(F:F,"donation",J:J)</f>
        <v>-1.48</v>
      </c>
      <c r="K55" s="13">
        <f>SUMIF(F:F,"donation",K:K)</f>
        <v>28.52</v>
      </c>
    </row>
    <row r="56" spans="1:11" ht="19">
      <c r="B56" s="49"/>
      <c r="C56" s="10"/>
      <c r="D56" s="31"/>
      <c r="E56" s="10"/>
      <c r="F56" s="7"/>
      <c r="G56" s="332" t="s">
        <v>20</v>
      </c>
      <c r="H56" s="333"/>
      <c r="I56" s="13">
        <f>I54+I55</f>
        <v>265</v>
      </c>
      <c r="J56" s="73">
        <f t="shared" ref="J56:K56" si="0">J54+J55</f>
        <v>-22.629999999999981</v>
      </c>
      <c r="K56" s="13">
        <f t="shared" si="0"/>
        <v>242.37000000000018</v>
      </c>
    </row>
    <row r="57" spans="1:11" ht="18.75" customHeight="1"/>
    <row r="58" spans="1:11" ht="18.75" customHeight="1"/>
    <row r="59" spans="1:11" ht="18.75" customHeight="1"/>
    <row r="60" spans="1:11" ht="18.75" customHeight="1"/>
    <row r="61" spans="1:11" ht="18.75" customHeight="1"/>
    <row r="62" spans="1:11"/>
    <row r="63" spans="1:11"/>
  </sheetData>
  <autoFilter ref="A1:K50" xr:uid="{CD926103-CD2F-4AD0-A811-257410E0920C}">
    <sortState xmlns:xlrd2="http://schemas.microsoft.com/office/spreadsheetml/2017/richdata2" ref="A2:K56">
      <sortCondition ref="B1"/>
    </sortState>
  </autoFilter>
  <mergeCells count="3">
    <mergeCell ref="G56:H56"/>
    <mergeCell ref="G54:H54"/>
    <mergeCell ref="G55:H55"/>
  </mergeCells>
  <pageMargins left="0.7" right="0.7" top="0.75" bottom="0.75" header="0.3" footer="0.3"/>
  <headerFooter>
    <oddFooter>&amp;R_x000D_&amp;1#&amp;"Calibri"&amp;8&amp;K000000 Cisco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BD6B-9DD7-48C5-8026-9839888AFE94}">
  <sheetPr>
    <pageSetUpPr fitToPage="1"/>
  </sheetPr>
  <dimension ref="A1:F17"/>
  <sheetViews>
    <sheetView zoomScaleNormal="100" workbookViewId="0">
      <selection activeCell="A3" sqref="A3"/>
    </sheetView>
  </sheetViews>
  <sheetFormatPr baseColWidth="10" defaultColWidth="8.6640625" defaultRowHeight="49" customHeight="1"/>
  <cols>
    <col min="1" max="2" width="43.83203125" style="4" customWidth="1"/>
    <col min="3" max="3" width="61.83203125" style="4" customWidth="1"/>
    <col min="4" max="4" width="34.33203125" style="4" customWidth="1"/>
    <col min="5" max="5" width="61.83203125" style="4" customWidth="1"/>
    <col min="6" max="6" width="28" style="4" bestFit="1" customWidth="1"/>
    <col min="7" max="16384" width="8.6640625" style="4"/>
  </cols>
  <sheetData>
    <row r="1" spans="1:6" s="30" customFormat="1" ht="49" customHeight="1">
      <c r="A1" s="334" t="s">
        <v>1453</v>
      </c>
      <c r="B1" s="334"/>
      <c r="C1" s="334"/>
      <c r="D1" s="334"/>
      <c r="E1" s="334"/>
      <c r="F1" s="334"/>
    </row>
    <row r="2" spans="1:6" s="2" customFormat="1" ht="49" customHeight="1">
      <c r="A2" s="1" t="s">
        <v>410</v>
      </c>
      <c r="B2" s="1" t="s">
        <v>411</v>
      </c>
      <c r="C2" s="1" t="s">
        <v>412</v>
      </c>
      <c r="D2" s="1" t="s">
        <v>1454</v>
      </c>
      <c r="E2" s="1" t="s">
        <v>413</v>
      </c>
      <c r="F2" s="222" t="s">
        <v>1455</v>
      </c>
    </row>
    <row r="3" spans="1:6" ht="60.75" customHeight="1">
      <c r="A3" s="5"/>
      <c r="B3" s="3"/>
      <c r="C3" s="3"/>
      <c r="D3" s="3"/>
      <c r="E3" s="6"/>
      <c r="F3" s="6"/>
    </row>
    <row r="4" spans="1:6" ht="73.5" customHeight="1">
      <c r="A4" s="3"/>
      <c r="B4" s="3"/>
      <c r="C4" s="5"/>
      <c r="D4" s="5"/>
      <c r="E4" s="6"/>
      <c r="F4" s="6"/>
    </row>
    <row r="5" spans="1:6" ht="73.5" customHeight="1">
      <c r="A5" s="3"/>
      <c r="B5" s="3"/>
      <c r="C5" s="5"/>
      <c r="D5" s="3"/>
      <c r="E5" s="6"/>
      <c r="F5" s="6"/>
    </row>
    <row r="6" spans="1:6" ht="73.5" customHeight="1">
      <c r="A6" s="3"/>
      <c r="B6" s="3"/>
      <c r="C6" s="3"/>
      <c r="D6" s="3"/>
      <c r="E6" s="6"/>
      <c r="F6" s="6"/>
    </row>
    <row r="7" spans="1:6" ht="73.5" customHeight="1">
      <c r="A7" s="3"/>
      <c r="B7" s="3"/>
      <c r="C7" s="3"/>
      <c r="D7" s="3"/>
      <c r="E7" s="6"/>
      <c r="F7" s="6"/>
    </row>
    <row r="8" spans="1:6" ht="73.5" customHeight="1">
      <c r="A8" s="3"/>
      <c r="B8" s="3"/>
      <c r="C8" s="3"/>
      <c r="D8" s="3"/>
      <c r="E8" s="5"/>
      <c r="F8" s="5"/>
    </row>
    <row r="9" spans="1:6" ht="73.5" customHeight="1">
      <c r="A9" s="3"/>
      <c r="B9" s="3"/>
      <c r="C9" s="3"/>
      <c r="D9" s="3"/>
      <c r="E9" s="5"/>
      <c r="F9" s="5"/>
    </row>
    <row r="10" spans="1:6" ht="73.5" customHeight="1">
      <c r="A10" s="3"/>
      <c r="B10" s="3"/>
      <c r="C10" s="3"/>
      <c r="D10" s="3"/>
      <c r="E10" s="5"/>
      <c r="F10" s="5"/>
    </row>
    <row r="11" spans="1:6" ht="73.5" customHeight="1">
      <c r="A11" s="3"/>
      <c r="B11" s="3"/>
      <c r="C11" s="3"/>
      <c r="D11" s="3"/>
      <c r="E11" s="5"/>
      <c r="F11" s="5"/>
    </row>
    <row r="12" spans="1:6" ht="73.5" customHeight="1">
      <c r="A12" s="3"/>
      <c r="B12" s="3"/>
      <c r="C12" s="3"/>
      <c r="D12" s="3"/>
      <c r="E12" s="5"/>
      <c r="F12" s="5"/>
    </row>
    <row r="13" spans="1:6" ht="49" customHeight="1">
      <c r="A13" s="3"/>
      <c r="B13" s="3"/>
      <c r="C13" s="3"/>
      <c r="D13" s="3"/>
      <c r="E13" s="3"/>
      <c r="F13" s="3"/>
    </row>
    <row r="14" spans="1:6" ht="49" customHeight="1">
      <c r="A14" s="3"/>
      <c r="B14" s="3"/>
      <c r="C14" s="3"/>
      <c r="D14" s="3"/>
      <c r="E14" s="3"/>
      <c r="F14" s="3"/>
    </row>
    <row r="15" spans="1:6" ht="49" customHeight="1">
      <c r="A15" s="3"/>
      <c r="B15" s="3"/>
      <c r="C15" s="3"/>
      <c r="D15" s="3"/>
      <c r="E15" s="3"/>
      <c r="F15" s="3"/>
    </row>
    <row r="16" spans="1:6" ht="49" customHeight="1">
      <c r="A16" s="3"/>
      <c r="B16" s="3"/>
      <c r="C16" s="3"/>
      <c r="D16" s="3"/>
      <c r="E16" s="3"/>
      <c r="F16" s="3"/>
    </row>
    <row r="17" spans="1:6" ht="49" customHeight="1">
      <c r="A17" s="3"/>
      <c r="B17" s="3"/>
      <c r="C17" s="3"/>
      <c r="D17" s="3"/>
      <c r="E17" s="3"/>
      <c r="F17" s="3"/>
    </row>
  </sheetData>
  <mergeCells count="1">
    <mergeCell ref="A1:F1"/>
  </mergeCells>
  <printOptions horizontalCentered="1" verticalCentered="1"/>
  <pageMargins left="0.23622047244094491" right="0.23622047244094491" top="0.55118110236220474" bottom="0.55118110236220474" header="0.19685039370078741" footer="0.19685039370078741"/>
  <pageSetup scale="4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9201-BF79-42B9-8E8D-A1F9DDDCC282}">
  <sheetPr>
    <pageSetUpPr fitToPage="1"/>
  </sheetPr>
  <dimension ref="A1:E22"/>
  <sheetViews>
    <sheetView zoomScaleNormal="100" workbookViewId="0">
      <selection activeCell="A3" sqref="A3"/>
    </sheetView>
  </sheetViews>
  <sheetFormatPr baseColWidth="10" defaultColWidth="8.6640625" defaultRowHeight="49" customHeight="1"/>
  <cols>
    <col min="1" max="5" width="41.1640625" style="4" customWidth="1"/>
    <col min="6" max="16384" width="8.6640625" style="4"/>
  </cols>
  <sheetData>
    <row r="1" spans="1:5" s="30" customFormat="1" ht="49" customHeight="1">
      <c r="A1" s="335" t="s">
        <v>1456</v>
      </c>
      <c r="B1" s="334"/>
      <c r="C1" s="334"/>
      <c r="D1" s="334"/>
      <c r="E1" s="334"/>
    </row>
    <row r="2" spans="1:5" s="2" customFormat="1" ht="49" customHeight="1">
      <c r="A2" s="1" t="s">
        <v>409</v>
      </c>
      <c r="B2" s="1" t="s">
        <v>409</v>
      </c>
      <c r="C2" s="1" t="s">
        <v>409</v>
      </c>
      <c r="D2" s="1" t="s">
        <v>409</v>
      </c>
      <c r="E2" s="1" t="s">
        <v>409</v>
      </c>
    </row>
    <row r="3" spans="1:5" ht="33" customHeight="1">
      <c r="A3" s="5"/>
      <c r="B3" s="3"/>
      <c r="C3" s="5"/>
      <c r="D3" s="5"/>
      <c r="E3" s="3"/>
    </row>
    <row r="4" spans="1:5" ht="33" customHeight="1">
      <c r="A4" s="3"/>
      <c r="B4" s="3"/>
      <c r="C4" s="3"/>
      <c r="D4" s="3"/>
      <c r="E4" s="3"/>
    </row>
    <row r="5" spans="1:5" ht="33" customHeight="1">
      <c r="A5" s="3"/>
      <c r="B5" s="3"/>
      <c r="C5" s="3"/>
      <c r="D5" s="3"/>
      <c r="E5" s="3"/>
    </row>
    <row r="6" spans="1:5" ht="33" customHeight="1">
      <c r="A6" s="3"/>
      <c r="B6" s="3"/>
      <c r="C6" s="3"/>
      <c r="D6" s="3"/>
      <c r="E6" s="3"/>
    </row>
    <row r="7" spans="1:5" ht="33" customHeight="1">
      <c r="A7" s="5"/>
      <c r="B7" s="3"/>
      <c r="C7" s="3"/>
      <c r="D7" s="3"/>
      <c r="E7" s="3"/>
    </row>
    <row r="8" spans="1:5" ht="33" customHeight="1">
      <c r="A8" s="3"/>
      <c r="B8" s="3"/>
      <c r="C8" s="3"/>
      <c r="D8" s="3"/>
      <c r="E8" s="3"/>
    </row>
    <row r="9" spans="1:5" ht="33" customHeight="1">
      <c r="A9" s="3"/>
      <c r="B9" s="3"/>
      <c r="C9" s="3"/>
      <c r="D9" s="3"/>
      <c r="E9" s="3"/>
    </row>
    <row r="10" spans="1:5" ht="33" customHeight="1">
      <c r="A10" s="3"/>
      <c r="B10" s="3"/>
      <c r="C10" s="3"/>
      <c r="D10" s="3"/>
      <c r="E10" s="3"/>
    </row>
    <row r="11" spans="1:5" ht="33" customHeight="1">
      <c r="A11" s="5"/>
      <c r="B11" s="3"/>
      <c r="C11" s="3"/>
      <c r="D11" s="3"/>
      <c r="E11" s="3"/>
    </row>
    <row r="12" spans="1:5" ht="33" customHeight="1">
      <c r="A12" s="3"/>
      <c r="B12" s="3"/>
      <c r="C12" s="3"/>
      <c r="D12" s="3"/>
      <c r="E12" s="3"/>
    </row>
    <row r="13" spans="1:5" ht="33" customHeight="1">
      <c r="A13" s="3"/>
      <c r="B13" s="3"/>
      <c r="C13" s="3"/>
      <c r="D13" s="3"/>
      <c r="E13" s="3"/>
    </row>
    <row r="14" spans="1:5" ht="33" customHeight="1">
      <c r="A14" s="3"/>
      <c r="B14" s="3"/>
      <c r="C14" s="3"/>
      <c r="D14" s="3"/>
      <c r="E14" s="3"/>
    </row>
    <row r="15" spans="1:5" ht="33" customHeight="1">
      <c r="A15" s="5"/>
      <c r="B15" s="3"/>
      <c r="C15" s="3"/>
      <c r="D15" s="3"/>
      <c r="E15" s="3"/>
    </row>
    <row r="16" spans="1:5" ht="33" customHeight="1">
      <c r="A16" s="3"/>
      <c r="B16" s="3"/>
      <c r="C16" s="3"/>
      <c r="D16" s="3"/>
      <c r="E16" s="3"/>
    </row>
    <row r="17" spans="1:5" ht="33" customHeight="1">
      <c r="A17" s="3"/>
      <c r="B17" s="3"/>
      <c r="C17" s="3"/>
      <c r="D17" s="3"/>
      <c r="E17" s="3"/>
    </row>
    <row r="18" spans="1:5" ht="33" customHeight="1">
      <c r="A18" s="3"/>
      <c r="B18" s="3"/>
      <c r="C18" s="3"/>
      <c r="D18" s="3"/>
      <c r="E18" s="3"/>
    </row>
    <row r="19" spans="1:5" ht="33" customHeight="1">
      <c r="A19" s="5"/>
      <c r="B19" s="3"/>
      <c r="C19" s="3"/>
      <c r="D19" s="3"/>
      <c r="E19" s="3"/>
    </row>
    <row r="20" spans="1:5" ht="33" customHeight="1">
      <c r="A20" s="3"/>
      <c r="B20" s="3"/>
      <c r="C20" s="3"/>
      <c r="D20" s="3"/>
      <c r="E20" s="3"/>
    </row>
    <row r="21" spans="1:5" ht="33" customHeight="1">
      <c r="A21" s="3"/>
      <c r="B21" s="3"/>
      <c r="C21" s="3"/>
      <c r="D21" s="3"/>
      <c r="E21" s="3"/>
    </row>
    <row r="22" spans="1:5" ht="33" customHeight="1">
      <c r="A22" s="3"/>
      <c r="B22" s="3"/>
      <c r="C22" s="3"/>
      <c r="D22" s="3"/>
      <c r="E22" s="3"/>
    </row>
  </sheetData>
  <mergeCells count="1">
    <mergeCell ref="A1:E1"/>
  </mergeCells>
  <pageMargins left="0.23622047244094491" right="0.23622047244094491" top="0.55118110236220474" bottom="0.55118110236220474" header="0.19685039370078741" footer="0.19685039370078741"/>
  <pageSetup scale="6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7F5A-F1C5-4619-AF0E-669ADB1B8D47}">
  <dimension ref="A1:S274"/>
  <sheetViews>
    <sheetView showGridLines="0" workbookViewId="0">
      <pane ySplit="1" topLeftCell="A250" activePane="bottomLeft" state="frozen"/>
      <selection pane="bottomLeft" activeCell="R267" sqref="R267"/>
    </sheetView>
  </sheetViews>
  <sheetFormatPr baseColWidth="10" defaultColWidth="32.1640625" defaultRowHeight="18.75" customHeight="1"/>
  <cols>
    <col min="1" max="1" width="10.33203125" style="15" bestFit="1" customWidth="1"/>
    <col min="2" max="2" width="18.1640625" style="49" bestFit="1" customWidth="1"/>
    <col min="3" max="3" width="22.6640625" style="7" bestFit="1" customWidth="1"/>
    <col min="4" max="4" width="16.33203125" style="7" bestFit="1" customWidth="1"/>
    <col min="5" max="5" width="14.1640625" style="7" bestFit="1" customWidth="1"/>
    <col min="6" max="6" width="18" style="7" bestFit="1" customWidth="1"/>
    <col min="7" max="7" width="11.33203125" style="22" bestFit="1" customWidth="1"/>
    <col min="8" max="8" width="31.6640625" style="7" bestFit="1" customWidth="1"/>
    <col min="9" max="9" width="11.6640625" style="7" bestFit="1" customWidth="1"/>
    <col min="10" max="10" width="12.6640625" style="7" bestFit="1" customWidth="1"/>
    <col min="11" max="11" width="14.6640625" style="60" bestFit="1" customWidth="1"/>
    <col min="12" max="12" width="14.6640625" style="61" bestFit="1" customWidth="1"/>
    <col min="13" max="13" width="11.33203125" style="61" bestFit="1" customWidth="1"/>
    <col min="14" max="14" width="10.33203125" style="96" bestFit="1" customWidth="1"/>
    <col min="15" max="15" width="12" style="61" bestFit="1" customWidth="1"/>
    <col min="16" max="16" width="25" style="61" bestFit="1" customWidth="1"/>
    <col min="17" max="17" width="14.33203125" style="26" bestFit="1" customWidth="1"/>
    <col min="18" max="18" width="59.1640625" style="7" bestFit="1" customWidth="1"/>
    <col min="19" max="16384" width="32.1640625" style="15"/>
  </cols>
  <sheetData>
    <row r="1" spans="1:18" s="17" customFormat="1" ht="18.75" customHeight="1">
      <c r="A1" s="23"/>
      <c r="B1" s="113" t="s">
        <v>32</v>
      </c>
      <c r="C1" s="18" t="s">
        <v>409</v>
      </c>
      <c r="D1" s="18" t="s">
        <v>410</v>
      </c>
      <c r="E1" s="18" t="s">
        <v>411</v>
      </c>
      <c r="F1" s="18" t="s">
        <v>412</v>
      </c>
      <c r="G1" s="18" t="s">
        <v>109</v>
      </c>
      <c r="H1" s="18" t="s">
        <v>413</v>
      </c>
      <c r="I1" s="18" t="s">
        <v>414</v>
      </c>
      <c r="J1" s="18" t="s">
        <v>415</v>
      </c>
      <c r="K1" s="50" t="s">
        <v>1457</v>
      </c>
      <c r="L1" s="50" t="s">
        <v>418</v>
      </c>
      <c r="M1" s="50" t="s">
        <v>51</v>
      </c>
      <c r="N1" s="91" t="s">
        <v>1458</v>
      </c>
      <c r="O1" s="50" t="s">
        <v>1459</v>
      </c>
      <c r="P1" s="50" t="s">
        <v>20</v>
      </c>
      <c r="Q1" s="23" t="s">
        <v>408</v>
      </c>
      <c r="R1" s="18" t="s">
        <v>419</v>
      </c>
    </row>
    <row r="2" spans="1:18" s="16" customFormat="1" ht="18.75" customHeight="1">
      <c r="A2" s="24"/>
      <c r="B2" s="115">
        <v>45776</v>
      </c>
      <c r="C2" s="5" t="str">
        <f t="shared" ref="C2:C65" si="0">CONCATENATE(D:D," ",E:E)</f>
        <v>Agnieszka Lipka</v>
      </c>
      <c r="D2" s="5" t="s">
        <v>708</v>
      </c>
      <c r="E2" s="5" t="s">
        <v>709</v>
      </c>
      <c r="F2" s="5"/>
      <c r="G2" s="5"/>
      <c r="H2" s="5" t="s">
        <v>710</v>
      </c>
      <c r="I2" s="5" t="s">
        <v>424</v>
      </c>
      <c r="J2" s="5" t="s">
        <v>620</v>
      </c>
      <c r="K2" s="51"/>
      <c r="L2" s="52"/>
      <c r="M2" s="52"/>
      <c r="N2" s="92"/>
      <c r="O2" s="52"/>
      <c r="P2" s="52">
        <f t="shared" ref="P2:P33" si="1">L2+M2+N2+O2</f>
        <v>0</v>
      </c>
      <c r="Q2" s="24">
        <v>77</v>
      </c>
      <c r="R2" s="5"/>
    </row>
    <row r="3" spans="1:18" s="16" customFormat="1" ht="18.75" customHeight="1">
      <c r="A3" s="24"/>
      <c r="B3" s="115">
        <v>45813</v>
      </c>
      <c r="C3" s="5" t="str">
        <f t="shared" si="0"/>
        <v>Alan Joel</v>
      </c>
      <c r="D3" s="5" t="s">
        <v>902</v>
      </c>
      <c r="E3" s="5" t="s">
        <v>903</v>
      </c>
      <c r="F3" s="5"/>
      <c r="G3" s="5"/>
      <c r="H3" s="5" t="s">
        <v>904</v>
      </c>
      <c r="I3" s="5" t="s">
        <v>424</v>
      </c>
      <c r="J3" s="5" t="s">
        <v>14</v>
      </c>
      <c r="K3" s="51">
        <v>45834</v>
      </c>
      <c r="L3" s="52">
        <v>5</v>
      </c>
      <c r="M3" s="52"/>
      <c r="N3" s="92">
        <v>-0.45</v>
      </c>
      <c r="O3" s="52"/>
      <c r="P3" s="52">
        <f t="shared" si="1"/>
        <v>4.55</v>
      </c>
      <c r="Q3" s="24">
        <v>134</v>
      </c>
      <c r="R3" s="25"/>
    </row>
    <row r="4" spans="1:18" s="16" customFormat="1" ht="18.75" customHeight="1">
      <c r="A4" s="24"/>
      <c r="B4" s="115">
        <v>45931</v>
      </c>
      <c r="C4" s="5" t="str">
        <f t="shared" si="0"/>
        <v>Alev Garner</v>
      </c>
      <c r="D4" s="5" t="s">
        <v>1243</v>
      </c>
      <c r="E4" s="5" t="s">
        <v>1244</v>
      </c>
      <c r="F4" s="5" t="s">
        <v>1245</v>
      </c>
      <c r="G4" s="5" t="s">
        <v>605</v>
      </c>
      <c r="H4" s="5" t="s">
        <v>1246</v>
      </c>
      <c r="I4" s="5" t="s">
        <v>424</v>
      </c>
      <c r="J4" s="5" t="s">
        <v>19</v>
      </c>
      <c r="K4" s="51"/>
      <c r="L4" s="52"/>
      <c r="M4" s="52"/>
      <c r="N4" s="92"/>
      <c r="O4" s="52"/>
      <c r="P4" s="52">
        <f t="shared" si="1"/>
        <v>0</v>
      </c>
      <c r="Q4" s="24">
        <v>236</v>
      </c>
      <c r="R4" s="5"/>
    </row>
    <row r="5" spans="1:18" ht="18.75" customHeight="1">
      <c r="A5" s="24"/>
      <c r="B5" s="115">
        <v>45822</v>
      </c>
      <c r="C5" s="5" t="str">
        <f t="shared" si="0"/>
        <v>Alison Blundell</v>
      </c>
      <c r="D5" s="5" t="s">
        <v>929</v>
      </c>
      <c r="E5" s="5" t="s">
        <v>930</v>
      </c>
      <c r="F5" s="5" t="s">
        <v>931</v>
      </c>
      <c r="G5" s="5" t="s">
        <v>932</v>
      </c>
      <c r="H5" s="5" t="s">
        <v>933</v>
      </c>
      <c r="I5" s="5" t="s">
        <v>424</v>
      </c>
      <c r="J5" s="5" t="s">
        <v>18</v>
      </c>
      <c r="K5" s="51"/>
      <c r="L5" s="52"/>
      <c r="M5" s="52"/>
      <c r="N5" s="92"/>
      <c r="O5" s="52"/>
      <c r="P5" s="52">
        <f t="shared" si="1"/>
        <v>0</v>
      </c>
      <c r="Q5" s="24">
        <v>143</v>
      </c>
      <c r="R5" s="5"/>
    </row>
    <row r="6" spans="1:18" ht="18.75" customHeight="1">
      <c r="A6" s="24"/>
      <c r="B6" s="115">
        <v>45777</v>
      </c>
      <c r="C6" s="5" t="str">
        <f t="shared" si="0"/>
        <v>Amanda Mills</v>
      </c>
      <c r="D6" s="5" t="s">
        <v>720</v>
      </c>
      <c r="E6" s="5" t="s">
        <v>721</v>
      </c>
      <c r="F6" s="5"/>
      <c r="G6" s="5"/>
      <c r="H6" s="5" t="s">
        <v>722</v>
      </c>
      <c r="I6" s="5" t="s">
        <v>424</v>
      </c>
      <c r="J6" s="5" t="s">
        <v>18</v>
      </c>
      <c r="K6" s="51"/>
      <c r="L6" s="52"/>
      <c r="M6" s="52"/>
      <c r="N6" s="92"/>
      <c r="O6" s="52"/>
      <c r="P6" s="52">
        <f t="shared" si="1"/>
        <v>0</v>
      </c>
      <c r="Q6" s="24">
        <v>82</v>
      </c>
      <c r="R6" s="5"/>
    </row>
    <row r="7" spans="1:18" ht="18.75" customHeight="1">
      <c r="A7" s="24"/>
      <c r="B7" s="115">
        <v>45710</v>
      </c>
      <c r="C7" s="5" t="str">
        <f t="shared" si="0"/>
        <v>Andrew Lewis</v>
      </c>
      <c r="D7" s="19" t="s">
        <v>444</v>
      </c>
      <c r="E7" s="19" t="s">
        <v>445</v>
      </c>
      <c r="F7" s="5"/>
      <c r="G7" s="5" t="s">
        <v>301</v>
      </c>
      <c r="H7" s="5" t="s">
        <v>447</v>
      </c>
      <c r="I7" s="5" t="s">
        <v>424</v>
      </c>
      <c r="J7" s="5" t="s">
        <v>18</v>
      </c>
      <c r="K7" s="51"/>
      <c r="L7" s="52"/>
      <c r="M7" s="52"/>
      <c r="N7" s="92"/>
      <c r="O7" s="52"/>
      <c r="P7" s="52">
        <f t="shared" si="1"/>
        <v>0</v>
      </c>
      <c r="Q7" s="24">
        <v>4</v>
      </c>
      <c r="R7" s="5"/>
    </row>
    <row r="8" spans="1:18" ht="18.75" customHeight="1">
      <c r="A8" s="24"/>
      <c r="B8" s="115">
        <v>45780</v>
      </c>
      <c r="C8" s="5" t="str">
        <f t="shared" si="0"/>
        <v>Andrew Williams</v>
      </c>
      <c r="D8" s="5" t="s">
        <v>444</v>
      </c>
      <c r="E8" s="5" t="s">
        <v>629</v>
      </c>
      <c r="F8" s="5" t="s">
        <v>637</v>
      </c>
      <c r="G8" s="154" t="s">
        <v>638</v>
      </c>
      <c r="H8" s="5" t="s">
        <v>262</v>
      </c>
      <c r="I8" s="5" t="s">
        <v>424</v>
      </c>
      <c r="J8" s="5" t="s">
        <v>769</v>
      </c>
      <c r="K8" s="51">
        <v>45993</v>
      </c>
      <c r="L8" s="52">
        <v>5</v>
      </c>
      <c r="M8" s="52"/>
      <c r="N8" s="92">
        <v>-0.45</v>
      </c>
      <c r="O8" s="52"/>
      <c r="P8" s="52">
        <f t="shared" si="1"/>
        <v>4.55</v>
      </c>
      <c r="Q8" s="24">
        <v>100</v>
      </c>
      <c r="R8" s="5"/>
    </row>
    <row r="9" spans="1:18" ht="18.75" customHeight="1">
      <c r="A9" s="24"/>
      <c r="B9" s="115">
        <v>45814</v>
      </c>
      <c r="C9" s="5" t="str">
        <f t="shared" si="0"/>
        <v>Andrew McLuskey</v>
      </c>
      <c r="D9" s="5" t="s">
        <v>444</v>
      </c>
      <c r="E9" s="5" t="s">
        <v>914</v>
      </c>
      <c r="F9" s="5" t="s">
        <v>915</v>
      </c>
      <c r="G9" s="5" t="s">
        <v>916</v>
      </c>
      <c r="H9" s="5" t="s">
        <v>917</v>
      </c>
      <c r="I9" s="5" t="s">
        <v>424</v>
      </c>
      <c r="J9" s="5" t="s">
        <v>18</v>
      </c>
      <c r="K9" s="51"/>
      <c r="L9" s="52"/>
      <c r="M9" s="52"/>
      <c r="N9" s="92"/>
      <c r="O9" s="52"/>
      <c r="P9" s="52">
        <f t="shared" si="1"/>
        <v>0</v>
      </c>
      <c r="Q9" s="24">
        <v>138</v>
      </c>
      <c r="R9" s="5"/>
    </row>
    <row r="10" spans="1:18" ht="18.75" customHeight="1">
      <c r="A10" s="24"/>
      <c r="B10" s="115">
        <v>45935</v>
      </c>
      <c r="C10" s="5" t="str">
        <f t="shared" si="0"/>
        <v>Andrew Russell</v>
      </c>
      <c r="D10" s="5" t="s">
        <v>444</v>
      </c>
      <c r="E10" s="5" t="s">
        <v>617</v>
      </c>
      <c r="F10" s="5" t="s">
        <v>1280</v>
      </c>
      <c r="G10" s="5" t="s">
        <v>499</v>
      </c>
      <c r="H10" s="5" t="s">
        <v>1281</v>
      </c>
      <c r="I10" s="5" t="s">
        <v>424</v>
      </c>
      <c r="J10" s="5" t="s">
        <v>16</v>
      </c>
      <c r="K10" s="51"/>
      <c r="L10" s="52"/>
      <c r="M10" s="52"/>
      <c r="N10" s="92"/>
      <c r="O10" s="52"/>
      <c r="P10" s="52">
        <f t="shared" si="1"/>
        <v>0</v>
      </c>
      <c r="Q10" s="24">
        <v>246</v>
      </c>
      <c r="R10" s="5"/>
    </row>
    <row r="11" spans="1:18" ht="18.75" customHeight="1">
      <c r="A11" s="24"/>
      <c r="B11" s="115">
        <v>45776</v>
      </c>
      <c r="C11" s="5" t="str">
        <f t="shared" si="0"/>
        <v>Andy Telasai</v>
      </c>
      <c r="D11" s="5" t="s">
        <v>711</v>
      </c>
      <c r="E11" s="5" t="s">
        <v>1460</v>
      </c>
      <c r="F11" s="5"/>
      <c r="G11" s="5"/>
      <c r="H11" s="5" t="s">
        <v>714</v>
      </c>
      <c r="I11" s="5" t="s">
        <v>424</v>
      </c>
      <c r="J11" s="5" t="s">
        <v>620</v>
      </c>
      <c r="K11" s="51"/>
      <c r="L11" s="52"/>
      <c r="M11" s="52"/>
      <c r="N11" s="92"/>
      <c r="O11" s="52"/>
      <c r="P11" s="52">
        <f t="shared" si="1"/>
        <v>0</v>
      </c>
      <c r="Q11" s="24">
        <v>78</v>
      </c>
      <c r="R11" s="5"/>
    </row>
    <row r="12" spans="1:18" ht="18.75" customHeight="1">
      <c r="A12" s="24"/>
      <c r="B12" s="115">
        <v>45927</v>
      </c>
      <c r="C12" s="5" t="str">
        <f t="shared" si="0"/>
        <v>Ann Robinson</v>
      </c>
      <c r="D12" s="5" t="s">
        <v>1119</v>
      </c>
      <c r="E12" s="5" t="s">
        <v>422</v>
      </c>
      <c r="F12" s="5" t="s">
        <v>1461</v>
      </c>
      <c r="G12" s="5" t="s">
        <v>207</v>
      </c>
      <c r="H12" s="5" t="s">
        <v>1120</v>
      </c>
      <c r="I12" s="5" t="s">
        <v>424</v>
      </c>
      <c r="J12" s="5" t="s">
        <v>18</v>
      </c>
      <c r="K12" s="51">
        <v>45985</v>
      </c>
      <c r="L12" s="52">
        <v>5</v>
      </c>
      <c r="M12" s="52"/>
      <c r="N12" s="92">
        <v>-0.45</v>
      </c>
      <c r="O12" s="52"/>
      <c r="P12" s="52">
        <f t="shared" si="1"/>
        <v>4.55</v>
      </c>
      <c r="Q12" s="24">
        <v>200</v>
      </c>
      <c r="R12" s="5"/>
    </row>
    <row r="13" spans="1:18" ht="18.75" customHeight="1">
      <c r="A13" s="24"/>
      <c r="B13" s="115">
        <v>45778</v>
      </c>
      <c r="C13" s="5" t="str">
        <f t="shared" si="0"/>
        <v>Anna Barker</v>
      </c>
      <c r="D13" s="5" t="s">
        <v>741</v>
      </c>
      <c r="E13" s="5" t="s">
        <v>742</v>
      </c>
      <c r="F13" s="5"/>
      <c r="G13" s="5"/>
      <c r="H13" s="5" t="s">
        <v>743</v>
      </c>
      <c r="I13" s="5" t="s">
        <v>424</v>
      </c>
      <c r="J13" s="5" t="s">
        <v>18</v>
      </c>
      <c r="K13" s="51"/>
      <c r="L13" s="52"/>
      <c r="M13" s="52"/>
      <c r="N13" s="92"/>
      <c r="O13" s="52"/>
      <c r="P13" s="52">
        <f t="shared" si="1"/>
        <v>0</v>
      </c>
      <c r="Q13" s="24">
        <v>88</v>
      </c>
      <c r="R13" s="5"/>
    </row>
    <row r="14" spans="1:18" ht="18.75" customHeight="1">
      <c r="A14" s="24"/>
      <c r="B14" s="115">
        <v>45710</v>
      </c>
      <c r="C14" s="5" t="str">
        <f t="shared" si="0"/>
        <v>Anne Crudgington</v>
      </c>
      <c r="D14" s="19" t="s">
        <v>448</v>
      </c>
      <c r="E14" s="19" t="s">
        <v>449</v>
      </c>
      <c r="F14" s="5"/>
      <c r="G14" s="5" t="s">
        <v>451</v>
      </c>
      <c r="H14" s="5" t="s">
        <v>452</v>
      </c>
      <c r="I14" s="5" t="s">
        <v>424</v>
      </c>
      <c r="J14" s="5" t="s">
        <v>18</v>
      </c>
      <c r="K14" s="51"/>
      <c r="L14" s="52"/>
      <c r="M14" s="52"/>
      <c r="N14" s="92"/>
      <c r="O14" s="52"/>
      <c r="P14" s="52">
        <f t="shared" si="1"/>
        <v>0</v>
      </c>
      <c r="Q14" s="24">
        <v>5</v>
      </c>
      <c r="R14" s="5"/>
    </row>
    <row r="15" spans="1:18" ht="18.75" customHeight="1">
      <c r="A15" s="24"/>
      <c r="B15" s="115">
        <v>45907</v>
      </c>
      <c r="C15" s="5" t="str">
        <f t="shared" si="0"/>
        <v>Anne-Maria Eusebio</v>
      </c>
      <c r="D15" s="5" t="s">
        <v>1069</v>
      </c>
      <c r="E15" s="5" t="s">
        <v>1070</v>
      </c>
      <c r="F15" s="5" t="s">
        <v>1071</v>
      </c>
      <c r="G15" s="5" t="s">
        <v>1072</v>
      </c>
      <c r="H15" s="5" t="s">
        <v>1073</v>
      </c>
      <c r="I15" s="5" t="s">
        <v>424</v>
      </c>
      <c r="J15" s="5" t="s">
        <v>18</v>
      </c>
      <c r="K15" s="51"/>
      <c r="L15" s="52"/>
      <c r="M15" s="52"/>
      <c r="N15" s="92"/>
      <c r="O15" s="52"/>
      <c r="P15" s="52">
        <f t="shared" si="1"/>
        <v>0</v>
      </c>
      <c r="Q15" s="24">
        <v>186</v>
      </c>
      <c r="R15" s="5"/>
    </row>
    <row r="16" spans="1:18" ht="18.75" customHeight="1">
      <c r="A16" s="24"/>
      <c r="B16" s="115">
        <v>45781</v>
      </c>
      <c r="C16" s="5" t="str">
        <f t="shared" si="0"/>
        <v>Ashish Kahol</v>
      </c>
      <c r="D16" s="5" t="s">
        <v>833</v>
      </c>
      <c r="E16" s="5" t="s">
        <v>834</v>
      </c>
      <c r="F16" s="5"/>
      <c r="G16" s="5"/>
      <c r="H16" s="5" t="s">
        <v>835</v>
      </c>
      <c r="I16" s="5" t="s">
        <v>424</v>
      </c>
      <c r="J16" s="5" t="s">
        <v>769</v>
      </c>
      <c r="K16" s="53"/>
      <c r="L16" s="52"/>
      <c r="M16" s="52"/>
      <c r="N16" s="92"/>
      <c r="O16" s="52"/>
      <c r="P16" s="52">
        <f t="shared" si="1"/>
        <v>0</v>
      </c>
      <c r="Q16" s="24">
        <v>117</v>
      </c>
      <c r="R16" s="5"/>
    </row>
    <row r="17" spans="1:18" ht="18.75" customHeight="1">
      <c r="A17" s="24"/>
      <c r="B17" s="115">
        <v>45927</v>
      </c>
      <c r="C17" s="5" t="str">
        <f t="shared" si="0"/>
        <v>Audrey Aylott</v>
      </c>
      <c r="D17" s="5" t="s">
        <v>1121</v>
      </c>
      <c r="E17" s="5" t="s">
        <v>1122</v>
      </c>
      <c r="F17" s="5" t="s">
        <v>1123</v>
      </c>
      <c r="G17" s="5" t="s">
        <v>1124</v>
      </c>
      <c r="H17" s="5" t="s">
        <v>1125</v>
      </c>
      <c r="I17" s="5" t="s">
        <v>424</v>
      </c>
      <c r="J17" s="5" t="s">
        <v>18</v>
      </c>
      <c r="K17" s="51"/>
      <c r="L17" s="52"/>
      <c r="M17" s="52"/>
      <c r="N17" s="92"/>
      <c r="O17" s="52"/>
      <c r="P17" s="52">
        <f t="shared" si="1"/>
        <v>0</v>
      </c>
      <c r="Q17" s="24">
        <v>201</v>
      </c>
      <c r="R17" s="5"/>
    </row>
    <row r="18" spans="1:18" ht="18.75" customHeight="1">
      <c r="A18" s="24"/>
      <c r="B18" s="115">
        <v>45850</v>
      </c>
      <c r="C18" s="5" t="str">
        <f t="shared" si="0"/>
        <v>Barbara McLennan</v>
      </c>
      <c r="D18" s="28" t="s">
        <v>1041</v>
      </c>
      <c r="E18" s="5" t="s">
        <v>935</v>
      </c>
      <c r="F18" s="5"/>
      <c r="G18" s="20"/>
      <c r="H18" s="5" t="s">
        <v>1042</v>
      </c>
      <c r="I18" s="5" t="s">
        <v>424</v>
      </c>
      <c r="J18" s="5" t="s">
        <v>17</v>
      </c>
      <c r="K18" s="51">
        <v>45850</v>
      </c>
      <c r="L18" s="52">
        <v>5</v>
      </c>
      <c r="M18" s="52"/>
      <c r="N18" s="92">
        <v>-0.45</v>
      </c>
      <c r="O18" s="52"/>
      <c r="P18" s="52">
        <f t="shared" si="1"/>
        <v>4.55</v>
      </c>
      <c r="Q18" s="24">
        <v>179</v>
      </c>
      <c r="R18" s="5"/>
    </row>
    <row r="19" spans="1:18" ht="18.75" customHeight="1">
      <c r="A19" s="24"/>
      <c r="B19" s="115">
        <v>45777</v>
      </c>
      <c r="C19" s="5" t="str">
        <f t="shared" si="0"/>
        <v>Barry Muggeridge</v>
      </c>
      <c r="D19" s="5" t="s">
        <v>723</v>
      </c>
      <c r="E19" s="5" t="s">
        <v>724</v>
      </c>
      <c r="F19" s="5"/>
      <c r="G19" s="5"/>
      <c r="H19" s="5" t="s">
        <v>380</v>
      </c>
      <c r="I19" s="5" t="s">
        <v>424</v>
      </c>
      <c r="J19" s="5" t="s">
        <v>18</v>
      </c>
      <c r="K19" s="51">
        <v>45777</v>
      </c>
      <c r="L19" s="52">
        <v>5</v>
      </c>
      <c r="M19" s="52"/>
      <c r="N19" s="92">
        <v>-0.45</v>
      </c>
      <c r="O19" s="52"/>
      <c r="P19" s="52">
        <f t="shared" si="1"/>
        <v>4.55</v>
      </c>
      <c r="Q19" s="24">
        <v>83</v>
      </c>
      <c r="R19" s="5"/>
    </row>
    <row r="20" spans="1:18" ht="18.75" customHeight="1">
      <c r="A20" s="24"/>
      <c r="B20" s="115">
        <v>45927</v>
      </c>
      <c r="C20" s="5" t="str">
        <f t="shared" si="0"/>
        <v>Barry Clarke</v>
      </c>
      <c r="D20" s="5" t="s">
        <v>723</v>
      </c>
      <c r="E20" s="5" t="s">
        <v>1126</v>
      </c>
      <c r="F20" s="5" t="s">
        <v>1127</v>
      </c>
      <c r="G20" s="5" t="s">
        <v>1128</v>
      </c>
      <c r="H20" s="5" t="s">
        <v>1462</v>
      </c>
      <c r="I20" s="5" t="s">
        <v>424</v>
      </c>
      <c r="J20" s="5" t="s">
        <v>18</v>
      </c>
      <c r="K20" s="51"/>
      <c r="L20" s="52"/>
      <c r="M20" s="52"/>
      <c r="N20" s="92"/>
      <c r="O20" s="52"/>
      <c r="P20" s="52">
        <f t="shared" si="1"/>
        <v>0</v>
      </c>
      <c r="Q20" s="24">
        <v>202</v>
      </c>
      <c r="R20" s="5"/>
    </row>
    <row r="21" spans="1:18" s="8" customFormat="1" ht="18.75" customHeight="1">
      <c r="A21" s="24"/>
      <c r="B21" s="115">
        <v>45927</v>
      </c>
      <c r="C21" s="5" t="str">
        <f t="shared" si="0"/>
        <v>Bernadette Williams</v>
      </c>
      <c r="D21" s="5" t="s">
        <v>1130</v>
      </c>
      <c r="E21" s="5" t="s">
        <v>629</v>
      </c>
      <c r="F21" s="5" t="s">
        <v>637</v>
      </c>
      <c r="G21" s="5" t="s">
        <v>638</v>
      </c>
      <c r="H21" s="5" t="s">
        <v>1463</v>
      </c>
      <c r="I21" s="5" t="s">
        <v>424</v>
      </c>
      <c r="J21" s="5" t="s">
        <v>18</v>
      </c>
      <c r="K21" s="51"/>
      <c r="L21" s="52"/>
      <c r="M21" s="52"/>
      <c r="N21" s="92"/>
      <c r="O21" s="52"/>
      <c r="P21" s="52">
        <f t="shared" si="1"/>
        <v>0</v>
      </c>
      <c r="Q21" s="24">
        <v>203</v>
      </c>
      <c r="R21" s="5"/>
    </row>
    <row r="22" spans="1:18" ht="18.75" customHeight="1">
      <c r="A22" s="24"/>
      <c r="B22" s="115">
        <v>45710</v>
      </c>
      <c r="C22" s="5" t="str">
        <f t="shared" si="0"/>
        <v>Bob Baldry</v>
      </c>
      <c r="D22" s="19" t="s">
        <v>454</v>
      </c>
      <c r="E22" s="19" t="s">
        <v>455</v>
      </c>
      <c r="F22" s="5"/>
      <c r="G22" s="5" t="s">
        <v>456</v>
      </c>
      <c r="H22" s="5" t="s">
        <v>457</v>
      </c>
      <c r="I22" s="5" t="s">
        <v>424</v>
      </c>
      <c r="J22" s="5" t="s">
        <v>18</v>
      </c>
      <c r="K22" s="51"/>
      <c r="L22" s="52"/>
      <c r="M22" s="52"/>
      <c r="N22" s="92"/>
      <c r="O22" s="52"/>
      <c r="P22" s="52">
        <f t="shared" si="1"/>
        <v>0</v>
      </c>
      <c r="Q22" s="24">
        <v>6</v>
      </c>
      <c r="R22" s="5"/>
    </row>
    <row r="23" spans="1:18" ht="18.75" customHeight="1">
      <c r="A23" s="24"/>
      <c r="B23" s="115">
        <v>45841</v>
      </c>
      <c r="C23" s="5" t="str">
        <f t="shared" si="0"/>
        <v>Brenda  Duff</v>
      </c>
      <c r="D23" s="5" t="s">
        <v>1036</v>
      </c>
      <c r="E23" s="5" t="s">
        <v>1037</v>
      </c>
      <c r="F23" s="5" t="s">
        <v>1038</v>
      </c>
      <c r="G23" s="5" t="s">
        <v>1039</v>
      </c>
      <c r="H23" s="5" t="s">
        <v>1040</v>
      </c>
      <c r="I23" s="5" t="s">
        <v>424</v>
      </c>
      <c r="J23" s="5" t="s">
        <v>19</v>
      </c>
      <c r="K23" s="51"/>
      <c r="L23" s="52"/>
      <c r="M23" s="52"/>
      <c r="N23" s="92"/>
      <c r="O23" s="52"/>
      <c r="P23" s="52">
        <f t="shared" si="1"/>
        <v>0</v>
      </c>
      <c r="Q23" s="24">
        <v>178</v>
      </c>
      <c r="R23" s="5"/>
    </row>
    <row r="24" spans="1:18" ht="18.75" customHeight="1">
      <c r="A24" s="24"/>
      <c r="B24" s="115">
        <v>45782</v>
      </c>
      <c r="C24" s="5" t="str">
        <f t="shared" si="0"/>
        <v>Callum Dyer</v>
      </c>
      <c r="D24" s="5" t="s">
        <v>846</v>
      </c>
      <c r="E24" s="5" t="s">
        <v>847</v>
      </c>
      <c r="F24" s="5"/>
      <c r="G24" s="5"/>
      <c r="H24" s="5" t="s">
        <v>850</v>
      </c>
      <c r="I24" s="5" t="s">
        <v>424</v>
      </c>
      <c r="J24" s="5" t="s">
        <v>769</v>
      </c>
      <c r="K24" s="51"/>
      <c r="L24" s="52"/>
      <c r="M24" s="52"/>
      <c r="N24" s="92"/>
      <c r="O24" s="52"/>
      <c r="P24" s="52">
        <f t="shared" si="1"/>
        <v>0</v>
      </c>
      <c r="Q24" s="24">
        <v>121</v>
      </c>
      <c r="R24" s="5"/>
    </row>
    <row r="25" spans="1:18" ht="18.75" customHeight="1">
      <c r="A25" s="24"/>
      <c r="B25" s="115">
        <v>45927</v>
      </c>
      <c r="C25" s="5" t="str">
        <f t="shared" si="0"/>
        <v>Cara Mackley</v>
      </c>
      <c r="D25" s="5" t="s">
        <v>1132</v>
      </c>
      <c r="E25" s="5" t="s">
        <v>1133</v>
      </c>
      <c r="F25" s="5" t="s">
        <v>142</v>
      </c>
      <c r="G25" s="5" t="s">
        <v>1134</v>
      </c>
      <c r="H25" s="5" t="s">
        <v>1135</v>
      </c>
      <c r="I25" s="5" t="s">
        <v>424</v>
      </c>
      <c r="J25" s="5" t="s">
        <v>18</v>
      </c>
      <c r="K25" s="51">
        <v>45957</v>
      </c>
      <c r="L25" s="52">
        <v>5</v>
      </c>
      <c r="M25" s="52"/>
      <c r="N25" s="92">
        <v>-0.45</v>
      </c>
      <c r="O25" s="52"/>
      <c r="P25" s="52">
        <f t="shared" si="1"/>
        <v>4.55</v>
      </c>
      <c r="Q25" s="24">
        <v>204</v>
      </c>
      <c r="R25" s="5"/>
    </row>
    <row r="26" spans="1:18" ht="18.75" customHeight="1">
      <c r="A26" s="24"/>
      <c r="B26" s="115">
        <v>45710</v>
      </c>
      <c r="C26" s="5" t="str">
        <f t="shared" si="0"/>
        <v>Carol Kielty</v>
      </c>
      <c r="D26" s="19" t="s">
        <v>459</v>
      </c>
      <c r="E26" s="19" t="s">
        <v>434</v>
      </c>
      <c r="F26" s="5" t="s">
        <v>1464</v>
      </c>
      <c r="G26" s="5" t="s">
        <v>461</v>
      </c>
      <c r="H26" s="5" t="s">
        <v>462</v>
      </c>
      <c r="I26" s="5" t="s">
        <v>424</v>
      </c>
      <c r="J26" s="5" t="s">
        <v>18</v>
      </c>
      <c r="K26" s="51">
        <v>45776</v>
      </c>
      <c r="L26" s="52"/>
      <c r="M26" s="52"/>
      <c r="N26" s="92"/>
      <c r="O26" s="52">
        <v>5</v>
      </c>
      <c r="P26" s="52">
        <f t="shared" si="1"/>
        <v>5</v>
      </c>
      <c r="Q26" s="24">
        <v>7</v>
      </c>
      <c r="R26" s="5"/>
    </row>
    <row r="27" spans="1:18" ht="18.75" customHeight="1">
      <c r="A27" s="24"/>
      <c r="B27" s="115">
        <v>45710</v>
      </c>
      <c r="C27" s="5" t="str">
        <f t="shared" si="0"/>
        <v>Carol Wooley</v>
      </c>
      <c r="D27" s="19" t="s">
        <v>459</v>
      </c>
      <c r="E27" s="19" t="s">
        <v>465</v>
      </c>
      <c r="F27" s="5"/>
      <c r="G27" s="5" t="s">
        <v>467</v>
      </c>
      <c r="H27" s="5" t="s">
        <v>468</v>
      </c>
      <c r="I27" s="5" t="s">
        <v>424</v>
      </c>
      <c r="J27" s="5" t="s">
        <v>18</v>
      </c>
      <c r="K27" s="51"/>
      <c r="L27" s="52"/>
      <c r="M27" s="52"/>
      <c r="N27" s="92"/>
      <c r="O27" s="52"/>
      <c r="P27" s="52">
        <f t="shared" si="1"/>
        <v>0</v>
      </c>
      <c r="Q27" s="24">
        <v>8</v>
      </c>
      <c r="R27" s="5"/>
    </row>
    <row r="28" spans="1:18" ht="18.75" customHeight="1">
      <c r="A28" s="24"/>
      <c r="B28" s="115">
        <v>45766</v>
      </c>
      <c r="C28" s="5" t="str">
        <f t="shared" si="0"/>
        <v>Carol  Pringle</v>
      </c>
      <c r="D28" s="5" t="s">
        <v>664</v>
      </c>
      <c r="E28" s="5" t="s">
        <v>665</v>
      </c>
      <c r="F28" s="5"/>
      <c r="G28" s="5"/>
      <c r="H28" s="5" t="s">
        <v>666</v>
      </c>
      <c r="I28" s="5" t="s">
        <v>424</v>
      </c>
      <c r="J28" s="5" t="s">
        <v>620</v>
      </c>
      <c r="K28" s="51"/>
      <c r="L28" s="52"/>
      <c r="M28" s="52"/>
      <c r="N28" s="92"/>
      <c r="O28" s="52"/>
      <c r="P28" s="52">
        <f t="shared" si="1"/>
        <v>0</v>
      </c>
      <c r="Q28" s="24">
        <v>62</v>
      </c>
      <c r="R28" s="5"/>
    </row>
    <row r="29" spans="1:18" ht="18.75" customHeight="1">
      <c r="A29" s="24"/>
      <c r="B29" s="115">
        <v>45710</v>
      </c>
      <c r="C29" s="5" t="str">
        <f t="shared" si="0"/>
        <v>Carole Baxter</v>
      </c>
      <c r="D29" s="19" t="s">
        <v>469</v>
      </c>
      <c r="E29" s="19" t="s">
        <v>470</v>
      </c>
      <c r="F29" s="5"/>
      <c r="G29" s="5" t="s">
        <v>334</v>
      </c>
      <c r="H29" s="5" t="s">
        <v>472</v>
      </c>
      <c r="I29" s="5" t="s">
        <v>424</v>
      </c>
      <c r="J29" s="5" t="s">
        <v>18</v>
      </c>
      <c r="K29" s="51">
        <v>45825</v>
      </c>
      <c r="L29" s="52">
        <v>5</v>
      </c>
      <c r="M29" s="52"/>
      <c r="N29" s="92">
        <v>-0.45</v>
      </c>
      <c r="O29" s="52"/>
      <c r="P29" s="52">
        <f t="shared" si="1"/>
        <v>4.55</v>
      </c>
      <c r="Q29" s="24">
        <v>9</v>
      </c>
      <c r="R29" s="5"/>
    </row>
    <row r="30" spans="1:18" ht="18.75" customHeight="1">
      <c r="A30" s="24"/>
      <c r="B30" s="115">
        <v>45710</v>
      </c>
      <c r="C30" s="5" t="str">
        <f t="shared" si="0"/>
        <v>Caroline Shannon</v>
      </c>
      <c r="D30" s="19" t="s">
        <v>473</v>
      </c>
      <c r="E30" s="19" t="s">
        <v>474</v>
      </c>
      <c r="F30" s="5"/>
      <c r="G30" s="5" t="s">
        <v>430</v>
      </c>
      <c r="H30" s="5" t="s">
        <v>475</v>
      </c>
      <c r="I30" s="5" t="s">
        <v>424</v>
      </c>
      <c r="J30" s="5" t="s">
        <v>18</v>
      </c>
      <c r="K30" s="51"/>
      <c r="L30" s="52"/>
      <c r="M30" s="52"/>
      <c r="N30" s="92"/>
      <c r="O30" s="52"/>
      <c r="P30" s="52">
        <f t="shared" si="1"/>
        <v>0</v>
      </c>
      <c r="Q30" s="24">
        <v>10</v>
      </c>
      <c r="R30" s="5"/>
    </row>
    <row r="31" spans="1:18" ht="18.75" customHeight="1">
      <c r="A31" s="24"/>
      <c r="B31" s="115">
        <v>45766</v>
      </c>
      <c r="C31" s="5" t="str">
        <f t="shared" si="0"/>
        <v>Caroline Rogerson</v>
      </c>
      <c r="D31" s="5" t="s">
        <v>473</v>
      </c>
      <c r="E31" s="5" t="s">
        <v>667</v>
      </c>
      <c r="F31" s="5"/>
      <c r="G31" s="5"/>
      <c r="H31" s="5" t="s">
        <v>668</v>
      </c>
      <c r="I31" s="5" t="s">
        <v>424</v>
      </c>
      <c r="J31" s="5" t="s">
        <v>640</v>
      </c>
      <c r="K31" s="52"/>
      <c r="L31" s="52"/>
      <c r="M31" s="52"/>
      <c r="N31" s="92"/>
      <c r="O31" s="52"/>
      <c r="P31" s="52">
        <f t="shared" si="1"/>
        <v>0</v>
      </c>
      <c r="Q31" s="24">
        <v>63</v>
      </c>
      <c r="R31" s="5"/>
    </row>
    <row r="32" spans="1:18" ht="18.75" customHeight="1">
      <c r="A32" s="24"/>
      <c r="B32" s="115">
        <v>45909</v>
      </c>
      <c r="C32" s="5" t="str">
        <f t="shared" si="0"/>
        <v>Caroline Toll</v>
      </c>
      <c r="D32" s="5" t="s">
        <v>473</v>
      </c>
      <c r="E32" s="5" t="s">
        <v>1101</v>
      </c>
      <c r="F32" s="5" t="s">
        <v>546</v>
      </c>
      <c r="G32" s="5" t="s">
        <v>547</v>
      </c>
      <c r="H32" s="5" t="s">
        <v>1102</v>
      </c>
      <c r="I32" s="5" t="s">
        <v>424</v>
      </c>
      <c r="J32" s="5" t="s">
        <v>19</v>
      </c>
      <c r="K32" s="51"/>
      <c r="L32" s="52"/>
      <c r="M32" s="52"/>
      <c r="N32" s="92"/>
      <c r="O32" s="52"/>
      <c r="P32" s="52">
        <f t="shared" si="1"/>
        <v>0</v>
      </c>
      <c r="Q32" s="24">
        <v>194</v>
      </c>
      <c r="R32" s="5"/>
    </row>
    <row r="33" spans="1:18" ht="18.75" customHeight="1">
      <c r="A33" s="24"/>
      <c r="B33" s="115">
        <v>45822</v>
      </c>
      <c r="C33" s="5" t="str">
        <f t="shared" si="0"/>
        <v>Cathy Waters</v>
      </c>
      <c r="D33" s="5" t="s">
        <v>937</v>
      </c>
      <c r="E33" s="5" t="s">
        <v>938</v>
      </c>
      <c r="F33" s="5" t="s">
        <v>702</v>
      </c>
      <c r="G33" s="5" t="s">
        <v>703</v>
      </c>
      <c r="H33" s="5" t="s">
        <v>939</v>
      </c>
      <c r="I33" s="5" t="s">
        <v>424</v>
      </c>
      <c r="J33" s="5" t="s">
        <v>18</v>
      </c>
      <c r="K33" s="51"/>
      <c r="L33" s="52"/>
      <c r="M33" s="52"/>
      <c r="N33" s="92"/>
      <c r="O33" s="52"/>
      <c r="P33" s="52">
        <f t="shared" si="1"/>
        <v>0</v>
      </c>
      <c r="Q33" s="24">
        <v>145</v>
      </c>
      <c r="R33" s="5"/>
    </row>
    <row r="34" spans="1:18" ht="18.75" customHeight="1">
      <c r="A34" s="24"/>
      <c r="B34" s="115">
        <v>45934</v>
      </c>
      <c r="C34" s="5" t="str">
        <f t="shared" si="0"/>
        <v>Charlotte Pope</v>
      </c>
      <c r="D34" s="5" t="s">
        <v>1275</v>
      </c>
      <c r="E34" s="5" t="s">
        <v>1276</v>
      </c>
      <c r="F34" s="5" t="s">
        <v>1277</v>
      </c>
      <c r="G34" s="5" t="s">
        <v>1278</v>
      </c>
      <c r="H34" s="5" t="s">
        <v>1279</v>
      </c>
      <c r="I34" s="5" t="s">
        <v>424</v>
      </c>
      <c r="J34" s="5" t="s">
        <v>19</v>
      </c>
      <c r="K34" s="51"/>
      <c r="L34" s="52"/>
      <c r="M34" s="52"/>
      <c r="N34" s="92"/>
      <c r="O34" s="52"/>
      <c r="P34" s="52">
        <f t="shared" ref="P34:P65" si="2">L34+M34+N34+O34</f>
        <v>0</v>
      </c>
      <c r="Q34" s="24">
        <v>245</v>
      </c>
      <c r="R34" s="5"/>
    </row>
    <row r="35" spans="1:18" ht="18.75" customHeight="1">
      <c r="A35" s="24"/>
      <c r="B35" s="115">
        <v>45939</v>
      </c>
      <c r="C35" s="5" t="str">
        <f t="shared" si="0"/>
        <v>Charlotte Atkinson</v>
      </c>
      <c r="D35" s="5" t="s">
        <v>1275</v>
      </c>
      <c r="E35" s="5" t="s">
        <v>1288</v>
      </c>
      <c r="F35" s="5" t="s">
        <v>1289</v>
      </c>
      <c r="G35" s="5" t="s">
        <v>1290</v>
      </c>
      <c r="H35" s="5" t="s">
        <v>1291</v>
      </c>
      <c r="I35" s="5" t="s">
        <v>424</v>
      </c>
      <c r="J35" s="5" t="s">
        <v>867</v>
      </c>
      <c r="K35" s="51">
        <v>45939</v>
      </c>
      <c r="L35" s="52">
        <v>5</v>
      </c>
      <c r="M35" s="52"/>
      <c r="N35" s="92">
        <v>-0.45</v>
      </c>
      <c r="O35" s="52"/>
      <c r="P35" s="52">
        <f t="shared" si="2"/>
        <v>4.55</v>
      </c>
      <c r="Q35" s="24">
        <v>249</v>
      </c>
      <c r="R35" s="5"/>
    </row>
    <row r="36" spans="1:18" ht="18.75" customHeight="1">
      <c r="A36" s="24"/>
      <c r="B36" s="115">
        <v>45766</v>
      </c>
      <c r="C36" s="5" t="str">
        <f t="shared" si="0"/>
        <v>Chris Chattam</v>
      </c>
      <c r="D36" s="5" t="s">
        <v>669</v>
      </c>
      <c r="E36" s="5" t="s">
        <v>670</v>
      </c>
      <c r="F36" s="5"/>
      <c r="G36" s="5"/>
      <c r="H36" s="5" t="s">
        <v>671</v>
      </c>
      <c r="I36" s="5" t="s">
        <v>424</v>
      </c>
      <c r="J36" s="5" t="s">
        <v>640</v>
      </c>
      <c r="K36" s="51"/>
      <c r="L36" s="52"/>
      <c r="M36" s="52"/>
      <c r="N36" s="92"/>
      <c r="O36" s="52"/>
      <c r="P36" s="52">
        <f t="shared" si="2"/>
        <v>0</v>
      </c>
      <c r="Q36" s="24">
        <v>64</v>
      </c>
      <c r="R36" s="5"/>
    </row>
    <row r="37" spans="1:18" ht="18.75" customHeight="1">
      <c r="A37" s="24"/>
      <c r="B37" s="115">
        <v>45710</v>
      </c>
      <c r="C37" s="5" t="str">
        <f t="shared" si="0"/>
        <v>Christine Lloyd</v>
      </c>
      <c r="D37" s="19" t="s">
        <v>476</v>
      </c>
      <c r="E37" s="19" t="s">
        <v>477</v>
      </c>
      <c r="F37" s="5"/>
      <c r="G37" s="5" t="s">
        <v>479</v>
      </c>
      <c r="H37" s="5" t="s">
        <v>480</v>
      </c>
      <c r="I37" s="5" t="s">
        <v>424</v>
      </c>
      <c r="J37" s="5" t="s">
        <v>18</v>
      </c>
      <c r="K37" s="51"/>
      <c r="L37" s="52"/>
      <c r="M37" s="52"/>
      <c r="N37" s="92"/>
      <c r="O37" s="52"/>
      <c r="P37" s="52">
        <f t="shared" si="2"/>
        <v>0</v>
      </c>
      <c r="Q37" s="24">
        <v>11</v>
      </c>
      <c r="R37" s="5"/>
    </row>
    <row r="38" spans="1:18" ht="18.75" customHeight="1">
      <c r="A38" s="24"/>
      <c r="B38" s="115">
        <v>45710</v>
      </c>
      <c r="C38" s="5" t="str">
        <f t="shared" si="0"/>
        <v>Christine Wooster</v>
      </c>
      <c r="D38" s="19" t="s">
        <v>476</v>
      </c>
      <c r="E38" s="19" t="s">
        <v>481</v>
      </c>
      <c r="F38" s="5"/>
      <c r="G38" s="5" t="s">
        <v>307</v>
      </c>
      <c r="H38" s="5" t="s">
        <v>303</v>
      </c>
      <c r="I38" s="5" t="s">
        <v>424</v>
      </c>
      <c r="J38" s="5" t="s">
        <v>18</v>
      </c>
      <c r="K38" s="51">
        <v>45826</v>
      </c>
      <c r="L38" s="52">
        <v>5</v>
      </c>
      <c r="M38" s="52"/>
      <c r="N38" s="92">
        <v>-0.45</v>
      </c>
      <c r="O38" s="52"/>
      <c r="P38" s="52">
        <f t="shared" si="2"/>
        <v>4.55</v>
      </c>
      <c r="Q38" s="24">
        <v>12</v>
      </c>
      <c r="R38" s="5"/>
    </row>
    <row r="39" spans="1:18" ht="18.75" customHeight="1">
      <c r="A39" s="24"/>
      <c r="B39" s="115">
        <v>45927</v>
      </c>
      <c r="C39" s="5" t="str">
        <f t="shared" si="0"/>
        <v>Christine  Sutcliffe</v>
      </c>
      <c r="D39" s="5" t="s">
        <v>1136</v>
      </c>
      <c r="E39" s="5" t="s">
        <v>1137</v>
      </c>
      <c r="F39" s="5" t="s">
        <v>1127</v>
      </c>
      <c r="G39" s="5" t="s">
        <v>1128</v>
      </c>
      <c r="H39" s="5" t="s">
        <v>1138</v>
      </c>
      <c r="I39" s="5" t="s">
        <v>424</v>
      </c>
      <c r="J39" s="5" t="s">
        <v>18</v>
      </c>
      <c r="K39" s="51"/>
      <c r="L39" s="52"/>
      <c r="M39" s="52"/>
      <c r="N39" s="92"/>
      <c r="O39" s="52"/>
      <c r="P39" s="52">
        <f t="shared" si="2"/>
        <v>0</v>
      </c>
      <c r="Q39" s="24">
        <v>205</v>
      </c>
      <c r="R39" s="5"/>
    </row>
    <row r="40" spans="1:18" s="16" customFormat="1" ht="18.75" customHeight="1">
      <c r="A40" s="24"/>
      <c r="B40" s="115">
        <v>45941</v>
      </c>
      <c r="C40" s="5" t="str">
        <f t="shared" si="0"/>
        <v>Christopher Salomons</v>
      </c>
      <c r="D40" s="5" t="s">
        <v>1292</v>
      </c>
      <c r="E40" s="5" t="s">
        <v>1293</v>
      </c>
      <c r="F40" s="5" t="s">
        <v>1289</v>
      </c>
      <c r="G40" s="5" t="s">
        <v>1290</v>
      </c>
      <c r="H40" s="5" t="s">
        <v>1294</v>
      </c>
      <c r="I40" s="5" t="s">
        <v>424</v>
      </c>
      <c r="J40" s="5" t="s">
        <v>19</v>
      </c>
      <c r="K40" s="51"/>
      <c r="L40" s="52"/>
      <c r="M40" s="52"/>
      <c r="N40" s="92"/>
      <c r="O40" s="52"/>
      <c r="P40" s="52">
        <f t="shared" si="2"/>
        <v>0</v>
      </c>
      <c r="Q40" s="24">
        <v>250</v>
      </c>
      <c r="R40" s="5"/>
    </row>
    <row r="41" spans="1:18" ht="18.75" customHeight="1">
      <c r="A41" s="24"/>
      <c r="B41" s="115">
        <v>45813</v>
      </c>
      <c r="C41" s="5" t="str">
        <f t="shared" si="0"/>
        <v>Clare Sabiston</v>
      </c>
      <c r="D41" s="5" t="s">
        <v>905</v>
      </c>
      <c r="E41" s="5" t="s">
        <v>906</v>
      </c>
      <c r="F41" s="5" t="s">
        <v>643</v>
      </c>
      <c r="G41" s="5" t="s">
        <v>356</v>
      </c>
      <c r="H41" s="5" t="s">
        <v>907</v>
      </c>
      <c r="I41" s="5" t="s">
        <v>424</v>
      </c>
      <c r="J41" s="5" t="s">
        <v>769</v>
      </c>
      <c r="K41" s="51"/>
      <c r="L41" s="52"/>
      <c r="M41" s="52"/>
      <c r="N41" s="92"/>
      <c r="O41" s="52"/>
      <c r="P41" s="52">
        <f t="shared" si="2"/>
        <v>0</v>
      </c>
      <c r="Q41" s="24">
        <v>135</v>
      </c>
      <c r="R41" s="5"/>
    </row>
    <row r="42" spans="1:18" ht="18.75" customHeight="1">
      <c r="A42" s="24"/>
      <c r="B42" s="115">
        <v>45820</v>
      </c>
      <c r="C42" s="5" t="str">
        <f t="shared" si="0"/>
        <v>Colin Flack</v>
      </c>
      <c r="D42" s="5" t="s">
        <v>918</v>
      </c>
      <c r="E42" s="5" t="s">
        <v>919</v>
      </c>
      <c r="F42" s="5" t="s">
        <v>423</v>
      </c>
      <c r="G42" s="5" t="s">
        <v>920</v>
      </c>
      <c r="H42" s="5" t="s">
        <v>921</v>
      </c>
      <c r="I42" s="5" t="s">
        <v>424</v>
      </c>
      <c r="J42" s="5" t="s">
        <v>14</v>
      </c>
      <c r="K42" s="51">
        <v>45820</v>
      </c>
      <c r="L42" s="52">
        <v>5</v>
      </c>
      <c r="M42" s="52"/>
      <c r="N42" s="92">
        <v>-0.45</v>
      </c>
      <c r="O42" s="52"/>
      <c r="P42" s="52">
        <f t="shared" si="2"/>
        <v>4.55</v>
      </c>
      <c r="Q42" s="24">
        <v>139</v>
      </c>
      <c r="R42" s="5"/>
    </row>
    <row r="43" spans="1:18" ht="18.75" customHeight="1">
      <c r="A43" s="24"/>
      <c r="B43" s="115">
        <v>45929</v>
      </c>
      <c r="C43" s="5" t="str">
        <f t="shared" si="0"/>
        <v>Craig Hatton</v>
      </c>
      <c r="D43" s="5" t="s">
        <v>1224</v>
      </c>
      <c r="E43" s="5" t="s">
        <v>1225</v>
      </c>
      <c r="F43" s="5" t="s">
        <v>1226</v>
      </c>
      <c r="G43" s="5" t="s">
        <v>1227</v>
      </c>
      <c r="H43" s="5" t="s">
        <v>1228</v>
      </c>
      <c r="I43" s="5" t="s">
        <v>424</v>
      </c>
      <c r="J43" s="5" t="s">
        <v>16</v>
      </c>
      <c r="K43" s="51"/>
      <c r="L43" s="52"/>
      <c r="M43" s="52"/>
      <c r="N43" s="92"/>
      <c r="O43" s="52"/>
      <c r="P43" s="52">
        <f t="shared" si="2"/>
        <v>0</v>
      </c>
      <c r="Q43" s="24">
        <v>231</v>
      </c>
      <c r="R43" s="5"/>
    </row>
    <row r="44" spans="1:18" ht="18.75" customHeight="1">
      <c r="A44" s="24"/>
      <c r="B44" s="115">
        <v>45930</v>
      </c>
      <c r="C44" s="5" t="str">
        <f t="shared" si="0"/>
        <v>Dan O’Sullivan</v>
      </c>
      <c r="D44" s="5" t="s">
        <v>1229</v>
      </c>
      <c r="E44" s="5" t="s">
        <v>1230</v>
      </c>
      <c r="F44" s="5" t="s">
        <v>1231</v>
      </c>
      <c r="G44" s="5" t="s">
        <v>1232</v>
      </c>
      <c r="H44" s="5" t="s">
        <v>1233</v>
      </c>
      <c r="I44" s="5" t="s">
        <v>424</v>
      </c>
      <c r="J44" s="5" t="s">
        <v>867</v>
      </c>
      <c r="K44" s="51"/>
      <c r="L44" s="52"/>
      <c r="M44" s="52"/>
      <c r="N44" s="92"/>
      <c r="O44" s="52"/>
      <c r="P44" s="52">
        <f t="shared" si="2"/>
        <v>0</v>
      </c>
      <c r="Q44" s="24">
        <v>232</v>
      </c>
      <c r="R44" s="5"/>
    </row>
    <row r="45" spans="1:18" ht="18.75" customHeight="1">
      <c r="A45" s="24"/>
      <c r="B45" s="115">
        <v>45813</v>
      </c>
      <c r="C45" s="5" t="str">
        <f t="shared" si="0"/>
        <v>Daniel Tomlinson</v>
      </c>
      <c r="D45" s="5" t="s">
        <v>908</v>
      </c>
      <c r="E45" s="5" t="s">
        <v>909</v>
      </c>
      <c r="F45" s="5"/>
      <c r="G45" s="5"/>
      <c r="H45" s="5" t="s">
        <v>910</v>
      </c>
      <c r="I45" s="5" t="s">
        <v>424</v>
      </c>
      <c r="J45" s="5" t="s">
        <v>14</v>
      </c>
      <c r="K45" s="51"/>
      <c r="L45" s="52"/>
      <c r="M45" s="52"/>
      <c r="N45" s="92"/>
      <c r="O45" s="52"/>
      <c r="P45" s="52">
        <f t="shared" si="2"/>
        <v>0</v>
      </c>
      <c r="Q45" s="24">
        <v>136</v>
      </c>
      <c r="R45" s="5"/>
    </row>
    <row r="46" spans="1:18" ht="18.75" customHeight="1">
      <c r="A46" s="24"/>
      <c r="B46" s="115">
        <v>45790</v>
      </c>
      <c r="C46" s="5" t="str">
        <f t="shared" si="0"/>
        <v>Daphne &amp; Martyn Tanner</v>
      </c>
      <c r="D46" s="5" t="s">
        <v>873</v>
      </c>
      <c r="E46" s="5" t="s">
        <v>874</v>
      </c>
      <c r="F46" s="5" t="s">
        <v>875</v>
      </c>
      <c r="G46" s="5" t="s">
        <v>876</v>
      </c>
      <c r="H46" s="5" t="s">
        <v>877</v>
      </c>
      <c r="I46" s="5" t="s">
        <v>424</v>
      </c>
      <c r="J46" s="5" t="s">
        <v>769</v>
      </c>
      <c r="K46" s="51">
        <v>45790</v>
      </c>
      <c r="L46" s="52">
        <v>5</v>
      </c>
      <c r="M46" s="52"/>
      <c r="N46" s="92">
        <v>-0.45</v>
      </c>
      <c r="O46" s="52"/>
      <c r="P46" s="52">
        <f t="shared" si="2"/>
        <v>4.55</v>
      </c>
      <c r="Q46" s="24">
        <v>127</v>
      </c>
      <c r="R46" s="5"/>
    </row>
    <row r="47" spans="1:18" s="8" customFormat="1" ht="18.75" customHeight="1">
      <c r="A47" s="24"/>
      <c r="B47" s="115">
        <v>45766</v>
      </c>
      <c r="C47" s="5" t="str">
        <f t="shared" si="0"/>
        <v>Dareen A</v>
      </c>
      <c r="D47" s="5" t="s">
        <v>672</v>
      </c>
      <c r="E47" s="5" t="s">
        <v>673</v>
      </c>
      <c r="F47" s="5"/>
      <c r="G47" s="5"/>
      <c r="H47" s="5" t="s">
        <v>674</v>
      </c>
      <c r="I47" s="5" t="s">
        <v>424</v>
      </c>
      <c r="J47" s="5" t="s">
        <v>640</v>
      </c>
      <c r="K47" s="51"/>
      <c r="L47" s="52"/>
      <c r="M47" s="52"/>
      <c r="N47" s="92"/>
      <c r="O47" s="52"/>
      <c r="P47" s="52">
        <f t="shared" si="2"/>
        <v>0</v>
      </c>
      <c r="Q47" s="24">
        <v>65</v>
      </c>
      <c r="R47" s="5"/>
    </row>
    <row r="48" spans="1:18" ht="18.75" customHeight="1">
      <c r="A48" s="24"/>
      <c r="B48" s="115">
        <v>45710</v>
      </c>
      <c r="C48" s="5" t="str">
        <f t="shared" si="0"/>
        <v>David Lee</v>
      </c>
      <c r="D48" s="19" t="s">
        <v>488</v>
      </c>
      <c r="E48" s="19" t="s">
        <v>489</v>
      </c>
      <c r="F48" s="5"/>
      <c r="G48" s="5" t="s">
        <v>219</v>
      </c>
      <c r="H48" s="5" t="s">
        <v>236</v>
      </c>
      <c r="I48" s="5" t="s">
        <v>424</v>
      </c>
      <c r="J48" s="5" t="s">
        <v>18</v>
      </c>
      <c r="K48" s="51">
        <v>45985</v>
      </c>
      <c r="L48" s="52">
        <v>5</v>
      </c>
      <c r="M48" s="52"/>
      <c r="N48" s="92">
        <v>-0.45</v>
      </c>
      <c r="O48" s="52"/>
      <c r="P48" s="52">
        <f t="shared" si="2"/>
        <v>4.55</v>
      </c>
      <c r="Q48" s="24">
        <v>14</v>
      </c>
      <c r="R48" s="5"/>
    </row>
    <row r="49" spans="1:18" ht="18.75" customHeight="1">
      <c r="A49" s="24"/>
      <c r="B49" s="115">
        <v>45710</v>
      </c>
      <c r="C49" s="5" t="str">
        <f t="shared" si="0"/>
        <v>David Small</v>
      </c>
      <c r="D49" s="19" t="s">
        <v>488</v>
      </c>
      <c r="E49" s="19" t="s">
        <v>490</v>
      </c>
      <c r="F49" s="5"/>
      <c r="G49" s="5" t="s">
        <v>492</v>
      </c>
      <c r="H49" s="5" t="s">
        <v>493</v>
      </c>
      <c r="I49" s="5" t="s">
        <v>424</v>
      </c>
      <c r="J49" s="5" t="s">
        <v>18</v>
      </c>
      <c r="K49" s="51"/>
      <c r="L49" s="52"/>
      <c r="M49" s="52"/>
      <c r="N49" s="92"/>
      <c r="O49" s="52"/>
      <c r="P49" s="52">
        <f t="shared" si="2"/>
        <v>0</v>
      </c>
      <c r="Q49" s="24">
        <v>15</v>
      </c>
      <c r="R49" s="5"/>
    </row>
    <row r="50" spans="1:18" ht="18.75" customHeight="1">
      <c r="A50" s="24"/>
      <c r="B50" s="115">
        <v>45806</v>
      </c>
      <c r="C50" s="5" t="str">
        <f t="shared" si="0"/>
        <v>David Endersby</v>
      </c>
      <c r="D50" s="5" t="s">
        <v>488</v>
      </c>
      <c r="E50" s="5" t="s">
        <v>894</v>
      </c>
      <c r="F50" s="5" t="s">
        <v>513</v>
      </c>
      <c r="G50" s="5" t="s">
        <v>895</v>
      </c>
      <c r="H50" s="5" t="s">
        <v>896</v>
      </c>
      <c r="I50" s="5" t="s">
        <v>424</v>
      </c>
      <c r="J50" s="5" t="s">
        <v>867</v>
      </c>
      <c r="K50" s="51">
        <v>45806</v>
      </c>
      <c r="L50" s="52">
        <v>5</v>
      </c>
      <c r="M50" s="52"/>
      <c r="N50" s="92">
        <v>-0.45</v>
      </c>
      <c r="O50" s="52"/>
      <c r="P50" s="52">
        <f t="shared" si="2"/>
        <v>4.55</v>
      </c>
      <c r="Q50" s="24">
        <v>132</v>
      </c>
      <c r="R50" s="5"/>
    </row>
    <row r="51" spans="1:18" s="8" customFormat="1" ht="18.75" customHeight="1">
      <c r="A51" s="24"/>
      <c r="B51" s="115">
        <v>45907</v>
      </c>
      <c r="C51" s="5" t="str">
        <f t="shared" si="0"/>
        <v>David Barham</v>
      </c>
      <c r="D51" s="19" t="s">
        <v>488</v>
      </c>
      <c r="E51" s="19" t="s">
        <v>1074</v>
      </c>
      <c r="F51" s="5" t="s">
        <v>1075</v>
      </c>
      <c r="G51" s="5" t="s">
        <v>1076</v>
      </c>
      <c r="H51" s="5" t="s">
        <v>1077</v>
      </c>
      <c r="I51" s="5" t="s">
        <v>424</v>
      </c>
      <c r="J51" s="5" t="s">
        <v>18</v>
      </c>
      <c r="K51" s="51"/>
      <c r="L51" s="52"/>
      <c r="M51" s="52"/>
      <c r="N51" s="92"/>
      <c r="O51" s="52"/>
      <c r="P51" s="52">
        <f t="shared" si="2"/>
        <v>0</v>
      </c>
      <c r="Q51" s="24">
        <v>187</v>
      </c>
      <c r="R51" s="5"/>
    </row>
    <row r="52" spans="1:18" ht="18.75" customHeight="1">
      <c r="A52" s="24"/>
      <c r="B52" s="115">
        <v>45710</v>
      </c>
      <c r="C52" s="5" t="str">
        <f t="shared" si="0"/>
        <v>David &amp; Tracey Outhwaite</v>
      </c>
      <c r="D52" s="5" t="s">
        <v>484</v>
      </c>
      <c r="E52" s="19" t="s">
        <v>485</v>
      </c>
      <c r="F52" s="5"/>
      <c r="G52" s="5" t="s">
        <v>486</v>
      </c>
      <c r="H52" s="5" t="s">
        <v>487</v>
      </c>
      <c r="I52" s="5" t="s">
        <v>424</v>
      </c>
      <c r="J52" s="5" t="s">
        <v>18</v>
      </c>
      <c r="K52" s="51"/>
      <c r="L52" s="52"/>
      <c r="M52" s="52"/>
      <c r="N52" s="92"/>
      <c r="O52" s="52"/>
      <c r="P52" s="52">
        <f t="shared" si="2"/>
        <v>0</v>
      </c>
      <c r="Q52" s="24">
        <v>13</v>
      </c>
      <c r="R52" s="5"/>
    </row>
    <row r="53" spans="1:18" ht="18.75" customHeight="1">
      <c r="A53" s="24"/>
      <c r="B53" s="114">
        <v>45778</v>
      </c>
      <c r="C53" s="25" t="str">
        <f t="shared" si="0"/>
        <v>Deb Cousens</v>
      </c>
      <c r="D53" s="25" t="s">
        <v>747</v>
      </c>
      <c r="E53" s="25" t="s">
        <v>748</v>
      </c>
      <c r="F53" s="25" t="s">
        <v>142</v>
      </c>
      <c r="G53" s="25" t="s">
        <v>430</v>
      </c>
      <c r="H53" s="25" t="s">
        <v>7</v>
      </c>
      <c r="I53" s="25" t="s">
        <v>424</v>
      </c>
      <c r="J53" s="25" t="s">
        <v>9</v>
      </c>
      <c r="K53" s="53"/>
      <c r="L53" s="54"/>
      <c r="M53" s="54"/>
      <c r="N53" s="93"/>
      <c r="O53" s="52"/>
      <c r="P53" s="52">
        <f t="shared" si="2"/>
        <v>0</v>
      </c>
      <c r="Q53" s="24">
        <v>90</v>
      </c>
      <c r="R53" s="42" t="s">
        <v>1465</v>
      </c>
    </row>
    <row r="54" spans="1:18" s="16" customFormat="1" ht="18.75" customHeight="1">
      <c r="A54" s="24"/>
      <c r="B54" s="115">
        <v>45766</v>
      </c>
      <c r="C54" s="5" t="str">
        <f t="shared" si="0"/>
        <v>Debbie Potter</v>
      </c>
      <c r="D54" s="5" t="s">
        <v>675</v>
      </c>
      <c r="E54" s="5" t="s">
        <v>676</v>
      </c>
      <c r="F54" s="5"/>
      <c r="G54" s="5"/>
      <c r="H54" s="7" t="s">
        <v>677</v>
      </c>
      <c r="I54" s="5" t="s">
        <v>424</v>
      </c>
      <c r="J54" s="5" t="s">
        <v>620</v>
      </c>
      <c r="K54" s="51"/>
      <c r="L54" s="52"/>
      <c r="M54" s="52"/>
      <c r="N54" s="92"/>
      <c r="O54" s="52"/>
      <c r="P54" s="52">
        <f t="shared" si="2"/>
        <v>0</v>
      </c>
      <c r="Q54" s="24">
        <v>66</v>
      </c>
      <c r="R54" s="5"/>
    </row>
    <row r="55" spans="1:18" ht="18.75" customHeight="1">
      <c r="A55" s="24"/>
      <c r="B55" s="115">
        <v>45822</v>
      </c>
      <c r="C55" s="5" t="str">
        <f t="shared" si="0"/>
        <v>Deborah Nutt</v>
      </c>
      <c r="D55" s="19" t="s">
        <v>941</v>
      </c>
      <c r="E55" s="19" t="s">
        <v>942</v>
      </c>
      <c r="F55" s="5" t="s">
        <v>943</v>
      </c>
      <c r="G55" s="5" t="s">
        <v>178</v>
      </c>
      <c r="H55" s="5" t="s">
        <v>944</v>
      </c>
      <c r="I55" s="5" t="s">
        <v>424</v>
      </c>
      <c r="J55" s="5" t="s">
        <v>18</v>
      </c>
      <c r="K55" s="51"/>
      <c r="L55" s="52"/>
      <c r="M55" s="52"/>
      <c r="N55" s="92"/>
      <c r="O55" s="52"/>
      <c r="P55" s="52">
        <f t="shared" si="2"/>
        <v>0</v>
      </c>
      <c r="Q55" s="24">
        <v>146</v>
      </c>
      <c r="R55" s="5"/>
    </row>
    <row r="56" spans="1:18" ht="18.75" customHeight="1">
      <c r="A56" s="24"/>
      <c r="B56" s="115">
        <v>45780</v>
      </c>
      <c r="C56" s="5" t="str">
        <f t="shared" si="0"/>
        <v>Debra McNeaney</v>
      </c>
      <c r="D56" s="5" t="s">
        <v>777</v>
      </c>
      <c r="E56" s="5" t="s">
        <v>778</v>
      </c>
      <c r="F56" s="5" t="s">
        <v>637</v>
      </c>
      <c r="G56" s="5" t="s">
        <v>775</v>
      </c>
      <c r="H56" s="5" t="s">
        <v>779</v>
      </c>
      <c r="I56" s="5" t="s">
        <v>424</v>
      </c>
      <c r="J56" s="5" t="s">
        <v>769</v>
      </c>
      <c r="K56" s="51"/>
      <c r="L56" s="52"/>
      <c r="M56" s="52"/>
      <c r="N56" s="92"/>
      <c r="O56" s="52"/>
      <c r="P56" s="52">
        <f t="shared" si="2"/>
        <v>0</v>
      </c>
      <c r="Q56" s="24">
        <v>101</v>
      </c>
      <c r="R56" s="5"/>
    </row>
    <row r="57" spans="1:18" ht="18.75" customHeight="1">
      <c r="A57" s="24"/>
      <c r="B57" s="115">
        <v>45710</v>
      </c>
      <c r="C57" s="5" t="str">
        <f t="shared" si="0"/>
        <v>Dennis &amp; Joan Leeks</v>
      </c>
      <c r="D57" s="19" t="s">
        <v>494</v>
      </c>
      <c r="E57" s="19" t="s">
        <v>495</v>
      </c>
      <c r="F57" s="5"/>
      <c r="G57" s="5" t="s">
        <v>301</v>
      </c>
      <c r="H57" s="5" t="s">
        <v>1466</v>
      </c>
      <c r="I57" s="5" t="s">
        <v>424</v>
      </c>
      <c r="J57" s="5" t="s">
        <v>18</v>
      </c>
      <c r="K57" s="51"/>
      <c r="L57" s="52"/>
      <c r="M57" s="52"/>
      <c r="N57" s="92"/>
      <c r="O57" s="52"/>
      <c r="P57" s="52">
        <f t="shared" si="2"/>
        <v>0</v>
      </c>
      <c r="Q57" s="24">
        <v>16</v>
      </c>
      <c r="R57" s="5"/>
    </row>
    <row r="58" spans="1:18" ht="18.75" customHeight="1">
      <c r="A58" s="24"/>
      <c r="B58" s="115">
        <v>45927</v>
      </c>
      <c r="C58" s="5" t="str">
        <f t="shared" si="0"/>
        <v>Derek Scott</v>
      </c>
      <c r="D58" s="5" t="s">
        <v>1139</v>
      </c>
      <c r="E58" s="5" t="s">
        <v>614</v>
      </c>
      <c r="F58" s="5" t="s">
        <v>513</v>
      </c>
      <c r="G58" s="5" t="s">
        <v>615</v>
      </c>
      <c r="H58" s="5"/>
      <c r="I58" s="5" t="s">
        <v>424</v>
      </c>
      <c r="J58" s="5" t="s">
        <v>18</v>
      </c>
      <c r="K58" s="51"/>
      <c r="L58" s="52"/>
      <c r="M58" s="52"/>
      <c r="N58" s="92"/>
      <c r="O58" s="52"/>
      <c r="P58" s="52">
        <f t="shared" si="2"/>
        <v>0</v>
      </c>
      <c r="Q58" s="24">
        <v>206</v>
      </c>
      <c r="R58" s="5"/>
    </row>
    <row r="59" spans="1:18" ht="18.75" customHeight="1">
      <c r="A59" s="24"/>
      <c r="B59" s="115">
        <v>45932</v>
      </c>
      <c r="C59" s="5" t="str">
        <f t="shared" si="0"/>
        <v>Dhiren Kanojiya</v>
      </c>
      <c r="D59" s="5" t="s">
        <v>1268</v>
      </c>
      <c r="E59" s="5" t="s">
        <v>1269</v>
      </c>
      <c r="F59" s="5" t="s">
        <v>1270</v>
      </c>
      <c r="G59" s="5" t="s">
        <v>1271</v>
      </c>
      <c r="H59" s="5" t="s">
        <v>1272</v>
      </c>
      <c r="I59" s="5" t="s">
        <v>424</v>
      </c>
      <c r="J59" s="5" t="s">
        <v>19</v>
      </c>
      <c r="K59" s="51"/>
      <c r="L59" s="52"/>
      <c r="M59" s="52"/>
      <c r="N59" s="92"/>
      <c r="O59" s="52"/>
      <c r="P59" s="52">
        <f t="shared" si="2"/>
        <v>0</v>
      </c>
      <c r="Q59" s="24">
        <v>243</v>
      </c>
      <c r="R59" s="5"/>
    </row>
    <row r="60" spans="1:18" ht="18.75" customHeight="1">
      <c r="A60" s="24"/>
      <c r="B60" s="115">
        <v>45822</v>
      </c>
      <c r="C60" s="5" t="str">
        <f t="shared" si="0"/>
        <v>Diana Lloyd</v>
      </c>
      <c r="D60" s="19" t="s">
        <v>945</v>
      </c>
      <c r="E60" s="19" t="s">
        <v>477</v>
      </c>
      <c r="F60" s="5" t="s">
        <v>946</v>
      </c>
      <c r="G60" s="5" t="s">
        <v>461</v>
      </c>
      <c r="H60" s="5" t="s">
        <v>947</v>
      </c>
      <c r="I60" s="5" t="s">
        <v>424</v>
      </c>
      <c r="J60" s="5" t="s">
        <v>18</v>
      </c>
      <c r="K60" s="51"/>
      <c r="L60" s="52"/>
      <c r="M60" s="52"/>
      <c r="N60" s="92"/>
      <c r="O60" s="52"/>
      <c r="P60" s="52">
        <f t="shared" si="2"/>
        <v>0</v>
      </c>
      <c r="Q60" s="24">
        <v>147</v>
      </c>
      <c r="R60" s="5"/>
    </row>
    <row r="61" spans="1:18" ht="18.75" customHeight="1">
      <c r="A61" s="24"/>
      <c r="B61" s="115">
        <v>45782</v>
      </c>
      <c r="C61" s="5" t="str">
        <f t="shared" si="0"/>
        <v>Diane Clark</v>
      </c>
      <c r="D61" s="5" t="s">
        <v>852</v>
      </c>
      <c r="E61" s="5" t="s">
        <v>853</v>
      </c>
      <c r="F61" s="5" t="s">
        <v>435</v>
      </c>
      <c r="G61" s="5" t="s">
        <v>130</v>
      </c>
      <c r="H61" s="5" t="s">
        <v>854</v>
      </c>
      <c r="I61" s="5" t="s">
        <v>424</v>
      </c>
      <c r="J61" s="5" t="s">
        <v>769</v>
      </c>
      <c r="K61" s="51">
        <v>45826</v>
      </c>
      <c r="L61" s="52">
        <v>5</v>
      </c>
      <c r="M61" s="52"/>
      <c r="N61" s="92">
        <v>-0.45</v>
      </c>
      <c r="O61" s="52"/>
      <c r="P61" s="52">
        <f t="shared" si="2"/>
        <v>4.55</v>
      </c>
      <c r="Q61" s="24">
        <v>122</v>
      </c>
      <c r="R61" s="25"/>
    </row>
    <row r="62" spans="1:18" ht="18.75" customHeight="1">
      <c r="A62" s="24"/>
      <c r="B62" s="115">
        <v>45780</v>
      </c>
      <c r="C62" s="5" t="str">
        <f t="shared" si="0"/>
        <v>Dominic Winterburn</v>
      </c>
      <c r="D62" s="5" t="s">
        <v>780</v>
      </c>
      <c r="E62" s="5" t="s">
        <v>781</v>
      </c>
      <c r="F62" s="5" t="s">
        <v>782</v>
      </c>
      <c r="G62" s="5" t="s">
        <v>783</v>
      </c>
      <c r="H62" s="5" t="s">
        <v>784</v>
      </c>
      <c r="I62" s="5" t="s">
        <v>424</v>
      </c>
      <c r="J62" s="5" t="s">
        <v>769</v>
      </c>
      <c r="K62" s="51"/>
      <c r="L62" s="52"/>
      <c r="M62" s="52"/>
      <c r="N62" s="92"/>
      <c r="O62" s="52"/>
      <c r="P62" s="52">
        <f t="shared" si="2"/>
        <v>0</v>
      </c>
      <c r="Q62" s="24">
        <v>102</v>
      </c>
      <c r="R62" s="5"/>
    </row>
    <row r="63" spans="1:18" ht="18.75" customHeight="1">
      <c r="A63" s="24"/>
      <c r="B63" s="115">
        <v>45807</v>
      </c>
      <c r="C63" s="5" t="str">
        <f t="shared" si="0"/>
        <v>Elaine Emmerton</v>
      </c>
      <c r="D63" s="5" t="s">
        <v>897</v>
      </c>
      <c r="E63" s="5" t="s">
        <v>898</v>
      </c>
      <c r="F63" s="5" t="s">
        <v>899</v>
      </c>
      <c r="G63" s="5" t="s">
        <v>900</v>
      </c>
      <c r="H63" s="5" t="s">
        <v>901</v>
      </c>
      <c r="I63" s="5" t="s">
        <v>424</v>
      </c>
      <c r="J63" s="5" t="s">
        <v>867</v>
      </c>
      <c r="K63" s="51">
        <v>45825</v>
      </c>
      <c r="L63" s="52">
        <v>5</v>
      </c>
      <c r="M63" s="52"/>
      <c r="N63" s="92">
        <v>-0.45</v>
      </c>
      <c r="O63" s="52"/>
      <c r="P63" s="52">
        <f t="shared" si="2"/>
        <v>4.55</v>
      </c>
      <c r="Q63" s="24">
        <v>133</v>
      </c>
      <c r="R63" s="5"/>
    </row>
    <row r="64" spans="1:18" ht="18.75" customHeight="1">
      <c r="A64" s="24"/>
      <c r="B64" s="115">
        <v>45822</v>
      </c>
      <c r="C64" s="5" t="str">
        <f t="shared" si="0"/>
        <v>Ernst Bachmann</v>
      </c>
      <c r="D64" s="19" t="s">
        <v>948</v>
      </c>
      <c r="E64" s="19" t="s">
        <v>949</v>
      </c>
      <c r="F64" s="5" t="s">
        <v>1467</v>
      </c>
      <c r="G64" s="5" t="s">
        <v>950</v>
      </c>
      <c r="H64" s="5" t="s">
        <v>951</v>
      </c>
      <c r="I64" s="5" t="s">
        <v>424</v>
      </c>
      <c r="J64" s="5" t="s">
        <v>18</v>
      </c>
      <c r="K64" s="51"/>
      <c r="L64" s="52"/>
      <c r="M64" s="52"/>
      <c r="N64" s="92"/>
      <c r="O64" s="52"/>
      <c r="P64" s="52">
        <f t="shared" si="2"/>
        <v>0</v>
      </c>
      <c r="Q64" s="24">
        <v>148</v>
      </c>
      <c r="R64" s="5"/>
    </row>
    <row r="65" spans="1:18" ht="18.75" customHeight="1">
      <c r="A65" s="24"/>
      <c r="B65" s="115">
        <v>45822</v>
      </c>
      <c r="C65" s="5" t="str">
        <f t="shared" si="0"/>
        <v>Evelyn Mitchell</v>
      </c>
      <c r="D65" s="19" t="s">
        <v>952</v>
      </c>
      <c r="E65" s="19" t="s">
        <v>953</v>
      </c>
      <c r="F65" s="5" t="s">
        <v>954</v>
      </c>
      <c r="G65" s="5" t="s">
        <v>955</v>
      </c>
      <c r="H65" s="5" t="s">
        <v>956</v>
      </c>
      <c r="I65" s="5" t="s">
        <v>424</v>
      </c>
      <c r="J65" s="5" t="s">
        <v>18</v>
      </c>
      <c r="K65" s="51"/>
      <c r="L65" s="52"/>
      <c r="M65" s="52"/>
      <c r="N65" s="92"/>
      <c r="O65" s="52"/>
      <c r="P65" s="52">
        <f t="shared" si="2"/>
        <v>0</v>
      </c>
      <c r="Q65" s="24">
        <v>149</v>
      </c>
      <c r="R65" s="5"/>
    </row>
    <row r="66" spans="1:18" ht="18.75" customHeight="1">
      <c r="A66" s="24"/>
      <c r="B66" s="115">
        <v>45820</v>
      </c>
      <c r="C66" s="5" t="str">
        <f t="shared" ref="C66:C129" si="3">CONCATENATE(D:D," ",E:E)</f>
        <v>Farhad ?</v>
      </c>
      <c r="D66" s="5" t="s">
        <v>922</v>
      </c>
      <c r="E66" s="5" t="s">
        <v>1468</v>
      </c>
      <c r="F66" s="5" t="s">
        <v>924</v>
      </c>
      <c r="G66" s="5" t="s">
        <v>583</v>
      </c>
      <c r="H66" s="5" t="s">
        <v>925</v>
      </c>
      <c r="I66" s="5" t="s">
        <v>424</v>
      </c>
      <c r="J66" s="5" t="s">
        <v>14</v>
      </c>
      <c r="K66" s="51"/>
      <c r="L66" s="52"/>
      <c r="M66" s="52"/>
      <c r="N66" s="92"/>
      <c r="O66" s="52"/>
      <c r="P66" s="52">
        <f t="shared" ref="P66:P97" si="4">L66+M66+N66+O66</f>
        <v>0</v>
      </c>
      <c r="Q66" s="24">
        <v>140</v>
      </c>
      <c r="R66" s="5"/>
    </row>
    <row r="67" spans="1:18" ht="18.75" customHeight="1">
      <c r="A67" s="24"/>
      <c r="B67" s="115">
        <v>45822</v>
      </c>
      <c r="C67" s="5" t="str">
        <f t="shared" si="3"/>
        <v>Francesca Parsons</v>
      </c>
      <c r="D67" s="19" t="s">
        <v>957</v>
      </c>
      <c r="E67" s="19" t="s">
        <v>958</v>
      </c>
      <c r="F67" s="5" t="s">
        <v>959</v>
      </c>
      <c r="G67" s="5" t="s">
        <v>960</v>
      </c>
      <c r="H67" s="5" t="s">
        <v>961</v>
      </c>
      <c r="I67" s="5" t="s">
        <v>424</v>
      </c>
      <c r="J67" s="5" t="s">
        <v>18</v>
      </c>
      <c r="K67" s="51">
        <v>45827</v>
      </c>
      <c r="L67" s="52">
        <v>5</v>
      </c>
      <c r="M67" s="52">
        <v>5</v>
      </c>
      <c r="N67" s="92">
        <v>-0.9</v>
      </c>
      <c r="O67" s="52"/>
      <c r="P67" s="52">
        <f t="shared" si="4"/>
        <v>9.1</v>
      </c>
      <c r="Q67" s="24">
        <v>150</v>
      </c>
      <c r="R67" s="5" t="s">
        <v>962</v>
      </c>
    </row>
    <row r="68" spans="1:18" ht="18.75" customHeight="1">
      <c r="A68" s="24"/>
      <c r="B68" s="115">
        <v>45710</v>
      </c>
      <c r="C68" s="5" t="str">
        <f t="shared" si="3"/>
        <v>Frank &amp; Laura Greaves</v>
      </c>
      <c r="D68" s="19" t="s">
        <v>497</v>
      </c>
      <c r="E68" s="19" t="s">
        <v>498</v>
      </c>
      <c r="F68" s="5"/>
      <c r="G68" s="5" t="s">
        <v>499</v>
      </c>
      <c r="H68" s="5" t="s">
        <v>500</v>
      </c>
      <c r="I68" s="5" t="s">
        <v>424</v>
      </c>
      <c r="J68" s="5" t="s">
        <v>18</v>
      </c>
      <c r="K68" s="51"/>
      <c r="L68" s="52"/>
      <c r="M68" s="52"/>
      <c r="N68" s="92"/>
      <c r="O68" s="52"/>
      <c r="P68" s="52">
        <f t="shared" si="4"/>
        <v>0</v>
      </c>
      <c r="Q68" s="24">
        <v>17</v>
      </c>
      <c r="R68" s="5"/>
    </row>
    <row r="69" spans="1:18" ht="18.75" customHeight="1">
      <c r="A69" s="24"/>
      <c r="B69" s="115">
        <v>45907</v>
      </c>
      <c r="C69" s="5" t="str">
        <f t="shared" si="3"/>
        <v>Gabriella Marsalla</v>
      </c>
      <c r="D69" s="19" t="s">
        <v>1078</v>
      </c>
      <c r="E69" s="19" t="s">
        <v>1079</v>
      </c>
      <c r="F69" s="5" t="s">
        <v>1075</v>
      </c>
      <c r="G69" s="5" t="s">
        <v>1076</v>
      </c>
      <c r="H69" s="5" t="s">
        <v>1080</v>
      </c>
      <c r="I69" s="5" t="s">
        <v>424</v>
      </c>
      <c r="J69" s="5" t="s">
        <v>18</v>
      </c>
      <c r="K69" s="51"/>
      <c r="L69" s="52"/>
      <c r="M69" s="52"/>
      <c r="N69" s="92"/>
      <c r="O69" s="52"/>
      <c r="P69" s="52">
        <f t="shared" si="4"/>
        <v>0</v>
      </c>
      <c r="Q69" s="24">
        <v>188</v>
      </c>
      <c r="R69" s="5"/>
    </row>
    <row r="70" spans="1:18" ht="18.75" customHeight="1">
      <c r="A70" s="24"/>
      <c r="B70" s="115">
        <v>45744</v>
      </c>
      <c r="C70" s="5" t="str">
        <f t="shared" si="3"/>
        <v>Gareth Williams</v>
      </c>
      <c r="D70" s="5" t="s">
        <v>628</v>
      </c>
      <c r="E70" s="5" t="s">
        <v>629</v>
      </c>
      <c r="F70" s="5"/>
      <c r="G70" s="5"/>
      <c r="H70" s="5" t="s">
        <v>630</v>
      </c>
      <c r="I70" s="5" t="s">
        <v>424</v>
      </c>
      <c r="J70" s="5" t="s">
        <v>16</v>
      </c>
      <c r="K70" s="51"/>
      <c r="L70" s="52"/>
      <c r="M70" s="52"/>
      <c r="N70" s="92"/>
      <c r="O70" s="52"/>
      <c r="P70" s="52">
        <f t="shared" si="4"/>
        <v>0</v>
      </c>
      <c r="Q70" s="24">
        <v>51</v>
      </c>
      <c r="R70" s="5"/>
    </row>
    <row r="71" spans="1:18" ht="18.75" customHeight="1">
      <c r="A71" s="24"/>
      <c r="B71" s="115">
        <v>45825</v>
      </c>
      <c r="C71" s="5" t="str">
        <f t="shared" si="3"/>
        <v>Gareth Williams</v>
      </c>
      <c r="D71" s="5" t="s">
        <v>628</v>
      </c>
      <c r="E71" s="5" t="s">
        <v>629</v>
      </c>
      <c r="F71" s="5" t="s">
        <v>450</v>
      </c>
      <c r="G71" s="5" t="s">
        <v>605</v>
      </c>
      <c r="H71" s="5" t="s">
        <v>1026</v>
      </c>
      <c r="I71" s="5" t="s">
        <v>424</v>
      </c>
      <c r="J71" s="5" t="s">
        <v>867</v>
      </c>
      <c r="K71" s="51">
        <v>45825</v>
      </c>
      <c r="L71" s="52">
        <v>5</v>
      </c>
      <c r="M71" s="52"/>
      <c r="N71" s="92">
        <v>-0.45</v>
      </c>
      <c r="O71" s="52"/>
      <c r="P71" s="52">
        <f t="shared" si="4"/>
        <v>4.55</v>
      </c>
      <c r="Q71" s="24">
        <v>174</v>
      </c>
      <c r="R71" s="5"/>
    </row>
    <row r="72" spans="1:18" ht="18.75" customHeight="1">
      <c r="A72" s="24"/>
      <c r="B72" s="115">
        <v>45822</v>
      </c>
      <c r="C72" s="5" t="str">
        <f t="shared" si="3"/>
        <v>Gary  Waters</v>
      </c>
      <c r="D72" s="19" t="s">
        <v>963</v>
      </c>
      <c r="E72" s="19" t="s">
        <v>938</v>
      </c>
      <c r="F72" s="5" t="s">
        <v>702</v>
      </c>
      <c r="G72" s="5" t="s">
        <v>703</v>
      </c>
      <c r="H72" s="5" t="s">
        <v>964</v>
      </c>
      <c r="I72" s="5" t="s">
        <v>424</v>
      </c>
      <c r="J72" s="5" t="s">
        <v>18</v>
      </c>
      <c r="K72" s="51"/>
      <c r="L72" s="52"/>
      <c r="M72" s="52"/>
      <c r="N72" s="92"/>
      <c r="O72" s="52"/>
      <c r="P72" s="52">
        <f t="shared" si="4"/>
        <v>0</v>
      </c>
      <c r="Q72" s="24">
        <v>151</v>
      </c>
      <c r="R72" s="5"/>
    </row>
    <row r="73" spans="1:18" ht="18.75" customHeight="1">
      <c r="A73" s="24"/>
      <c r="B73" s="115">
        <v>45710</v>
      </c>
      <c r="C73" s="5" t="str">
        <f t="shared" si="3"/>
        <v>Geoffrey Rippingale</v>
      </c>
      <c r="D73" s="19" t="s">
        <v>501</v>
      </c>
      <c r="E73" s="19" t="s">
        <v>502</v>
      </c>
      <c r="F73" s="5"/>
      <c r="G73" s="5" t="s">
        <v>503</v>
      </c>
      <c r="H73" s="5" t="s">
        <v>504</v>
      </c>
      <c r="I73" s="5" t="s">
        <v>424</v>
      </c>
      <c r="J73" s="5" t="s">
        <v>18</v>
      </c>
      <c r="K73" s="51"/>
      <c r="L73" s="52"/>
      <c r="M73" s="52"/>
      <c r="N73" s="92"/>
      <c r="O73" s="52"/>
      <c r="P73" s="52">
        <f t="shared" si="4"/>
        <v>0</v>
      </c>
      <c r="Q73" s="24">
        <v>18</v>
      </c>
      <c r="R73" s="5"/>
    </row>
    <row r="74" spans="1:18" ht="18.75" customHeight="1">
      <c r="A74" s="24"/>
      <c r="B74" s="115">
        <v>45769</v>
      </c>
      <c r="C74" s="5" t="str">
        <f t="shared" si="3"/>
        <v>Glen Watson</v>
      </c>
      <c r="D74" s="5" t="s">
        <v>688</v>
      </c>
      <c r="E74" s="5" t="s">
        <v>689</v>
      </c>
      <c r="F74" s="5"/>
      <c r="G74" s="5"/>
      <c r="H74" s="5" t="s">
        <v>690</v>
      </c>
      <c r="I74" s="5" t="s">
        <v>424</v>
      </c>
      <c r="J74" s="5" t="s">
        <v>620</v>
      </c>
      <c r="K74" s="51"/>
      <c r="L74" s="52"/>
      <c r="M74" s="52"/>
      <c r="N74" s="92"/>
      <c r="O74" s="52"/>
      <c r="P74" s="52">
        <f t="shared" si="4"/>
        <v>0</v>
      </c>
      <c r="Q74" s="24">
        <v>70</v>
      </c>
      <c r="R74" s="5"/>
    </row>
    <row r="75" spans="1:18" ht="18.75" customHeight="1">
      <c r="A75" s="24"/>
      <c r="B75" s="115">
        <v>45744</v>
      </c>
      <c r="C75" s="5" t="str">
        <f t="shared" si="3"/>
        <v>Gordon Briggs</v>
      </c>
      <c r="D75" s="19" t="s">
        <v>631</v>
      </c>
      <c r="E75" s="19" t="s">
        <v>632</v>
      </c>
      <c r="F75" s="5" t="s">
        <v>633</v>
      </c>
      <c r="G75" s="5" t="s">
        <v>634</v>
      </c>
      <c r="H75" s="5" t="s">
        <v>635</v>
      </c>
      <c r="I75" s="5" t="s">
        <v>424</v>
      </c>
      <c r="J75" s="5" t="s">
        <v>18</v>
      </c>
      <c r="K75" s="51"/>
      <c r="L75" s="52"/>
      <c r="M75" s="52"/>
      <c r="N75" s="92"/>
      <c r="O75" s="52"/>
      <c r="P75" s="52">
        <f t="shared" si="4"/>
        <v>0</v>
      </c>
      <c r="Q75" s="24">
        <v>52</v>
      </c>
      <c r="R75" s="5"/>
    </row>
    <row r="76" spans="1:18" ht="18.75" customHeight="1">
      <c r="A76" s="24"/>
      <c r="B76" s="115">
        <v>45781</v>
      </c>
      <c r="C76" s="5" t="str">
        <f t="shared" si="3"/>
        <v>Graham Lawson</v>
      </c>
      <c r="D76" s="5" t="s">
        <v>836</v>
      </c>
      <c r="E76" s="5" t="s">
        <v>837</v>
      </c>
      <c r="F76" s="5"/>
      <c r="G76" s="5"/>
      <c r="H76" s="5" t="s">
        <v>838</v>
      </c>
      <c r="I76" s="5" t="s">
        <v>424</v>
      </c>
      <c r="J76" s="5" t="s">
        <v>769</v>
      </c>
      <c r="K76" s="51"/>
      <c r="L76" s="52"/>
      <c r="M76" s="52"/>
      <c r="N76" s="92"/>
      <c r="O76" s="52"/>
      <c r="P76" s="52">
        <f t="shared" si="4"/>
        <v>0</v>
      </c>
      <c r="Q76" s="24">
        <v>118</v>
      </c>
      <c r="R76" s="5"/>
    </row>
    <row r="77" spans="1:18" ht="18.75" customHeight="1">
      <c r="A77" s="24"/>
      <c r="B77" s="115">
        <v>45710</v>
      </c>
      <c r="C77" s="5" t="str">
        <f t="shared" si="3"/>
        <v>Greg Neall</v>
      </c>
      <c r="D77" s="19" t="s">
        <v>505</v>
      </c>
      <c r="E77" s="19" t="s">
        <v>506</v>
      </c>
      <c r="F77" s="5"/>
      <c r="G77" s="5" t="s">
        <v>508</v>
      </c>
      <c r="H77" s="5" t="s">
        <v>509</v>
      </c>
      <c r="I77" s="5" t="s">
        <v>424</v>
      </c>
      <c r="J77" s="5" t="s">
        <v>18</v>
      </c>
      <c r="K77" s="51"/>
      <c r="L77" s="52"/>
      <c r="M77" s="52"/>
      <c r="N77" s="92"/>
      <c r="O77" s="52"/>
      <c r="P77" s="52">
        <f t="shared" si="4"/>
        <v>0</v>
      </c>
      <c r="Q77" s="24">
        <v>19</v>
      </c>
      <c r="R77" s="5"/>
    </row>
    <row r="78" spans="1:18" ht="18.75" customHeight="1">
      <c r="A78" s="24"/>
      <c r="B78" s="115">
        <v>45873</v>
      </c>
      <c r="C78" s="5" t="str">
        <f t="shared" si="3"/>
        <v>Gurpinder Johal</v>
      </c>
      <c r="D78" s="5" t="s">
        <v>1043</v>
      </c>
      <c r="E78" s="5" t="s">
        <v>1044</v>
      </c>
      <c r="F78" s="5" t="s">
        <v>521</v>
      </c>
      <c r="G78" s="5" t="s">
        <v>1045</v>
      </c>
      <c r="H78" s="5" t="s">
        <v>1046</v>
      </c>
      <c r="I78" s="5" t="s">
        <v>424</v>
      </c>
      <c r="J78" s="5" t="s">
        <v>19</v>
      </c>
      <c r="K78" s="51"/>
      <c r="L78" s="52"/>
      <c r="M78" s="52"/>
      <c r="N78" s="92"/>
      <c r="O78" s="52"/>
      <c r="P78" s="52">
        <f t="shared" si="4"/>
        <v>0</v>
      </c>
      <c r="Q78" s="24">
        <v>180</v>
      </c>
      <c r="R78" s="5"/>
    </row>
    <row r="79" spans="1:18" ht="18.75" customHeight="1">
      <c r="A79" s="24"/>
      <c r="B79" s="115">
        <v>45907</v>
      </c>
      <c r="C79" s="5" t="str">
        <f t="shared" si="3"/>
        <v>Gush Bhullar</v>
      </c>
      <c r="D79" s="5" t="s">
        <v>1081</v>
      </c>
      <c r="E79" s="5" t="s">
        <v>1082</v>
      </c>
      <c r="F79" s="5" t="s">
        <v>1083</v>
      </c>
      <c r="G79" s="5" t="s">
        <v>1084</v>
      </c>
      <c r="H79" s="5" t="s">
        <v>1085</v>
      </c>
      <c r="I79" s="5" t="s">
        <v>424</v>
      </c>
      <c r="J79" s="5" t="s">
        <v>18</v>
      </c>
      <c r="K79" s="51"/>
      <c r="L79" s="52"/>
      <c r="M79" s="52"/>
      <c r="N79" s="92"/>
      <c r="O79" s="52"/>
      <c r="P79" s="52">
        <f t="shared" si="4"/>
        <v>0</v>
      </c>
      <c r="Q79" s="24">
        <v>189</v>
      </c>
      <c r="R79" s="5"/>
    </row>
    <row r="80" spans="1:18" ht="18.75" customHeight="1">
      <c r="A80" s="24"/>
      <c r="B80" s="115">
        <v>45777</v>
      </c>
      <c r="C80" s="5" t="str">
        <f t="shared" si="3"/>
        <v>Heather McIntyre</v>
      </c>
      <c r="D80" s="19" t="s">
        <v>726</v>
      </c>
      <c r="E80" s="19" t="s">
        <v>727</v>
      </c>
      <c r="F80" s="5" t="s">
        <v>728</v>
      </c>
      <c r="G80" s="5" t="s">
        <v>729</v>
      </c>
      <c r="H80" s="5" t="s">
        <v>730</v>
      </c>
      <c r="I80" s="5" t="s">
        <v>424</v>
      </c>
      <c r="J80" s="5" t="s">
        <v>18</v>
      </c>
      <c r="K80" s="51"/>
      <c r="L80" s="52"/>
      <c r="M80" s="52"/>
      <c r="N80" s="92"/>
      <c r="O80" s="52"/>
      <c r="P80" s="52">
        <f t="shared" si="4"/>
        <v>0</v>
      </c>
      <c r="Q80" s="24">
        <v>84</v>
      </c>
      <c r="R80" s="5"/>
    </row>
    <row r="81" spans="1:18" ht="18.75" customHeight="1">
      <c r="A81" s="24"/>
      <c r="B81" s="115">
        <v>45822</v>
      </c>
      <c r="C81" s="5" t="str">
        <f t="shared" si="3"/>
        <v>Heather Wasley</v>
      </c>
      <c r="D81" s="5" t="s">
        <v>726</v>
      </c>
      <c r="E81" s="5" t="s">
        <v>719</v>
      </c>
      <c r="F81" s="5" t="s">
        <v>142</v>
      </c>
      <c r="G81" s="5" t="s">
        <v>430</v>
      </c>
      <c r="H81" s="5" t="s">
        <v>966</v>
      </c>
      <c r="I81" s="5" t="s">
        <v>424</v>
      </c>
      <c r="J81" s="5" t="s">
        <v>18</v>
      </c>
      <c r="K81" s="51"/>
      <c r="L81" s="52"/>
      <c r="M81" s="52"/>
      <c r="N81" s="92"/>
      <c r="O81" s="52"/>
      <c r="P81" s="52">
        <f t="shared" si="4"/>
        <v>0</v>
      </c>
      <c r="Q81" s="24">
        <v>152</v>
      </c>
      <c r="R81" s="5"/>
    </row>
    <row r="82" spans="1:18" ht="18.75" customHeight="1">
      <c r="A82" s="24"/>
      <c r="B82" s="115">
        <v>45710</v>
      </c>
      <c r="C82" s="5" t="str">
        <f t="shared" si="3"/>
        <v>Helen Collis</v>
      </c>
      <c r="D82" s="19" t="s">
        <v>511</v>
      </c>
      <c r="E82" s="19" t="s">
        <v>512</v>
      </c>
      <c r="F82" s="5"/>
      <c r="G82" s="5" t="s">
        <v>514</v>
      </c>
      <c r="H82" s="5" t="s">
        <v>515</v>
      </c>
      <c r="I82" s="5" t="s">
        <v>424</v>
      </c>
      <c r="J82" s="5" t="s">
        <v>18</v>
      </c>
      <c r="K82" s="51">
        <v>45991</v>
      </c>
      <c r="L82" s="52">
        <v>5</v>
      </c>
      <c r="M82" s="52"/>
      <c r="N82" s="92">
        <v>-0.45</v>
      </c>
      <c r="O82" s="52"/>
      <c r="P82" s="52">
        <f t="shared" si="4"/>
        <v>4.55</v>
      </c>
      <c r="Q82" s="24">
        <v>20</v>
      </c>
      <c r="R82" s="5"/>
    </row>
    <row r="83" spans="1:18" ht="18.75" customHeight="1">
      <c r="A83" s="24"/>
      <c r="B83" s="115">
        <v>45710</v>
      </c>
      <c r="C83" s="5" t="str">
        <f t="shared" si="3"/>
        <v>Helen Mason</v>
      </c>
      <c r="D83" s="19" t="s">
        <v>511</v>
      </c>
      <c r="E83" s="19" t="s">
        <v>516</v>
      </c>
      <c r="F83" s="5"/>
      <c r="G83" s="5" t="s">
        <v>517</v>
      </c>
      <c r="H83" s="5" t="s">
        <v>518</v>
      </c>
      <c r="I83" s="5" t="s">
        <v>424</v>
      </c>
      <c r="J83" s="5" t="s">
        <v>18</v>
      </c>
      <c r="K83" s="51"/>
      <c r="L83" s="52"/>
      <c r="M83" s="52"/>
      <c r="N83" s="92"/>
      <c r="O83" s="52"/>
      <c r="P83" s="52">
        <f t="shared" si="4"/>
        <v>0</v>
      </c>
      <c r="Q83" s="24">
        <v>21</v>
      </c>
      <c r="R83" s="5"/>
    </row>
    <row r="84" spans="1:18" ht="18.75" customHeight="1">
      <c r="A84" s="24"/>
      <c r="B84" s="115">
        <v>45822</v>
      </c>
      <c r="C84" s="5" t="str">
        <f t="shared" si="3"/>
        <v>Helen Beecham</v>
      </c>
      <c r="D84" s="19" t="s">
        <v>511</v>
      </c>
      <c r="E84" s="19" t="s">
        <v>968</v>
      </c>
      <c r="F84" s="5" t="s">
        <v>782</v>
      </c>
      <c r="G84" s="5" t="s">
        <v>969</v>
      </c>
      <c r="H84" s="5" t="s">
        <v>970</v>
      </c>
      <c r="I84" s="5" t="s">
        <v>424</v>
      </c>
      <c r="J84" s="5" t="s">
        <v>18</v>
      </c>
      <c r="K84" s="51"/>
      <c r="L84" s="52"/>
      <c r="M84" s="52"/>
      <c r="N84" s="92"/>
      <c r="O84" s="52"/>
      <c r="P84" s="52">
        <f t="shared" si="4"/>
        <v>0</v>
      </c>
      <c r="Q84" s="24">
        <v>153</v>
      </c>
      <c r="R84" s="5"/>
    </row>
    <row r="85" spans="1:18" ht="18.75" customHeight="1">
      <c r="A85" s="24"/>
      <c r="B85" s="115">
        <v>45927</v>
      </c>
      <c r="C85" s="5" t="str">
        <f t="shared" si="3"/>
        <v>Helen  Barker</v>
      </c>
      <c r="D85" s="5" t="s">
        <v>1141</v>
      </c>
      <c r="E85" s="5" t="s">
        <v>742</v>
      </c>
      <c r="F85" s="5" t="s">
        <v>1469</v>
      </c>
      <c r="G85" s="5" t="s">
        <v>143</v>
      </c>
      <c r="H85" s="5" t="s">
        <v>1142</v>
      </c>
      <c r="I85" s="5" t="s">
        <v>424</v>
      </c>
      <c r="J85" s="5" t="s">
        <v>18</v>
      </c>
      <c r="K85" s="51"/>
      <c r="L85" s="52"/>
      <c r="M85" s="52"/>
      <c r="N85" s="92"/>
      <c r="O85" s="52"/>
      <c r="P85" s="52">
        <f t="shared" si="4"/>
        <v>0</v>
      </c>
      <c r="Q85" s="24">
        <v>207</v>
      </c>
      <c r="R85" s="5"/>
    </row>
    <row r="86" spans="1:18" ht="18.75" customHeight="1">
      <c r="A86" s="24"/>
      <c r="B86" s="115">
        <v>45822</v>
      </c>
      <c r="C86" s="5" t="str">
        <f t="shared" si="3"/>
        <v>Howard Wooton</v>
      </c>
      <c r="D86" s="19" t="s">
        <v>971</v>
      </c>
      <c r="E86" s="19" t="s">
        <v>972</v>
      </c>
      <c r="F86" s="5" t="s">
        <v>559</v>
      </c>
      <c r="G86" s="5" t="s">
        <v>932</v>
      </c>
      <c r="H86" s="5" t="s">
        <v>973</v>
      </c>
      <c r="I86" s="5" t="s">
        <v>424</v>
      </c>
      <c r="J86" s="5" t="s">
        <v>18</v>
      </c>
      <c r="K86" s="51"/>
      <c r="L86" s="52"/>
      <c r="M86" s="52"/>
      <c r="N86" s="92"/>
      <c r="O86" s="52"/>
      <c r="P86" s="52">
        <f t="shared" si="4"/>
        <v>0</v>
      </c>
      <c r="Q86" s="24">
        <v>154</v>
      </c>
      <c r="R86" s="5"/>
    </row>
    <row r="87" spans="1:18" ht="18.75" customHeight="1">
      <c r="A87" s="24"/>
      <c r="B87" s="115">
        <v>45927</v>
      </c>
      <c r="C87" s="5" t="str">
        <f t="shared" si="3"/>
        <v>Ian Kirkby</v>
      </c>
      <c r="D87" s="5" t="s">
        <v>1144</v>
      </c>
      <c r="E87" s="5" t="s">
        <v>1470</v>
      </c>
      <c r="F87" s="5" t="s">
        <v>1146</v>
      </c>
      <c r="G87" s="5" t="s">
        <v>1147</v>
      </c>
      <c r="H87" s="5" t="s">
        <v>1148</v>
      </c>
      <c r="I87" s="5" t="s">
        <v>424</v>
      </c>
      <c r="J87" s="5" t="s">
        <v>18</v>
      </c>
      <c r="K87" s="51"/>
      <c r="L87" s="52">
        <v>0</v>
      </c>
      <c r="M87" s="52"/>
      <c r="N87" s="92">
        <v>0</v>
      </c>
      <c r="O87" s="52"/>
      <c r="P87" s="52">
        <f t="shared" si="4"/>
        <v>0</v>
      </c>
      <c r="Q87" s="24">
        <v>208</v>
      </c>
      <c r="R87" s="5" t="s">
        <v>699</v>
      </c>
    </row>
    <row r="88" spans="1:18" ht="18.75" customHeight="1">
      <c r="A88" s="24"/>
      <c r="B88" s="115">
        <v>45791</v>
      </c>
      <c r="C88" s="5" t="str">
        <f t="shared" si="3"/>
        <v>Irene Brien</v>
      </c>
      <c r="D88" s="5" t="s">
        <v>883</v>
      </c>
      <c r="E88" s="5" t="s">
        <v>884</v>
      </c>
      <c r="F88" s="5"/>
      <c r="G88" s="5"/>
      <c r="H88" s="5" t="s">
        <v>885</v>
      </c>
      <c r="I88" s="5" t="s">
        <v>424</v>
      </c>
      <c r="J88" s="5" t="s">
        <v>16</v>
      </c>
      <c r="K88" s="51">
        <v>45788</v>
      </c>
      <c r="L88" s="52">
        <v>5</v>
      </c>
      <c r="M88" s="52"/>
      <c r="N88" s="92">
        <v>-0.45</v>
      </c>
      <c r="O88" s="52"/>
      <c r="P88" s="52">
        <f t="shared" si="4"/>
        <v>4.55</v>
      </c>
      <c r="Q88" s="24">
        <v>129</v>
      </c>
      <c r="R88" s="5"/>
    </row>
    <row r="89" spans="1:18" ht="18.75" customHeight="1">
      <c r="A89" s="24"/>
      <c r="B89" s="115">
        <v>45765</v>
      </c>
      <c r="C89" s="5" t="str">
        <f t="shared" si="3"/>
        <v>Irfan Younas</v>
      </c>
      <c r="D89" s="5" t="s">
        <v>660</v>
      </c>
      <c r="E89" s="5" t="s">
        <v>661</v>
      </c>
      <c r="F89" s="5" t="s">
        <v>450</v>
      </c>
      <c r="G89" s="5" t="s">
        <v>662</v>
      </c>
      <c r="H89" s="5" t="s">
        <v>663</v>
      </c>
      <c r="I89" s="5" t="s">
        <v>424</v>
      </c>
      <c r="J89" s="5" t="s">
        <v>18</v>
      </c>
      <c r="K89" s="51"/>
      <c r="L89" s="52"/>
      <c r="M89" s="52"/>
      <c r="N89" s="92"/>
      <c r="O89" s="52"/>
      <c r="P89" s="52">
        <f t="shared" si="4"/>
        <v>0</v>
      </c>
      <c r="Q89" s="24">
        <v>61</v>
      </c>
      <c r="R89" s="5"/>
    </row>
    <row r="90" spans="1:18" ht="18.75" customHeight="1">
      <c r="A90" s="24"/>
      <c r="B90" s="115">
        <v>45771</v>
      </c>
      <c r="C90" s="5" t="str">
        <f t="shared" si="3"/>
        <v>Isabelle Kielty</v>
      </c>
      <c r="D90" s="5" t="s">
        <v>695</v>
      </c>
      <c r="E90" s="5" t="s">
        <v>434</v>
      </c>
      <c r="F90" s="5" t="s">
        <v>683</v>
      </c>
      <c r="G90" s="5" t="s">
        <v>684</v>
      </c>
      <c r="H90" s="5" t="s">
        <v>696</v>
      </c>
      <c r="I90" s="5" t="s">
        <v>424</v>
      </c>
      <c r="J90" s="5" t="s">
        <v>13</v>
      </c>
      <c r="K90" s="51"/>
      <c r="L90" s="52">
        <v>0</v>
      </c>
      <c r="M90" s="52"/>
      <c r="N90" s="92">
        <v>0</v>
      </c>
      <c r="O90" s="52"/>
      <c r="P90" s="52">
        <f t="shared" si="4"/>
        <v>0</v>
      </c>
      <c r="Q90" s="24">
        <v>72</v>
      </c>
      <c r="R90" s="5" t="s">
        <v>699</v>
      </c>
    </row>
    <row r="91" spans="1:18" ht="18.75" customHeight="1">
      <c r="A91" s="24"/>
      <c r="B91" s="115">
        <v>45710</v>
      </c>
      <c r="C91" s="5" t="str">
        <f t="shared" si="3"/>
        <v>Jackie &amp; Les Brown</v>
      </c>
      <c r="D91" s="19" t="s">
        <v>524</v>
      </c>
      <c r="E91" s="19" t="s">
        <v>525</v>
      </c>
      <c r="F91" s="5"/>
      <c r="G91" s="5" t="s">
        <v>526</v>
      </c>
      <c r="H91" s="5" t="s">
        <v>527</v>
      </c>
      <c r="I91" s="5" t="s">
        <v>424</v>
      </c>
      <c r="J91" s="5" t="s">
        <v>18</v>
      </c>
      <c r="K91" s="51"/>
      <c r="L91" s="52"/>
      <c r="M91" s="52"/>
      <c r="N91" s="92"/>
      <c r="O91" s="52"/>
      <c r="P91" s="52">
        <f t="shared" si="4"/>
        <v>0</v>
      </c>
      <c r="Q91" s="24">
        <v>23</v>
      </c>
      <c r="R91" s="5"/>
    </row>
    <row r="92" spans="1:18" ht="18.75" customHeight="1">
      <c r="A92" s="24"/>
      <c r="B92" s="115">
        <v>45771</v>
      </c>
      <c r="C92" s="5" t="str">
        <f t="shared" si="3"/>
        <v>Jamieson Kielty</v>
      </c>
      <c r="D92" s="5" t="s">
        <v>697</v>
      </c>
      <c r="E92" s="5" t="s">
        <v>434</v>
      </c>
      <c r="F92" s="5" t="s">
        <v>435</v>
      </c>
      <c r="G92" s="5" t="s">
        <v>130</v>
      </c>
      <c r="H92" s="5" t="s">
        <v>698</v>
      </c>
      <c r="I92" s="5" t="s">
        <v>424</v>
      </c>
      <c r="J92" s="5" t="s">
        <v>13</v>
      </c>
      <c r="K92" s="51"/>
      <c r="L92" s="52">
        <v>0</v>
      </c>
      <c r="M92" s="52"/>
      <c r="N92" s="92">
        <v>0</v>
      </c>
      <c r="O92" s="52"/>
      <c r="P92" s="52">
        <f t="shared" si="4"/>
        <v>0</v>
      </c>
      <c r="Q92" s="24">
        <v>73</v>
      </c>
      <c r="R92" s="5" t="s">
        <v>699</v>
      </c>
    </row>
    <row r="93" spans="1:18" ht="18.75" customHeight="1">
      <c r="A93" s="24"/>
      <c r="B93" s="115">
        <v>45822</v>
      </c>
      <c r="C93" s="5" t="str">
        <f t="shared" si="3"/>
        <v>Jan Sivelle</v>
      </c>
      <c r="D93" s="5" t="s">
        <v>974</v>
      </c>
      <c r="E93" s="5" t="s">
        <v>975</v>
      </c>
      <c r="F93" s="5" t="s">
        <v>423</v>
      </c>
      <c r="G93" s="5" t="s">
        <v>583</v>
      </c>
      <c r="H93" s="5" t="s">
        <v>976</v>
      </c>
      <c r="I93" s="5" t="s">
        <v>424</v>
      </c>
      <c r="J93" s="5" t="s">
        <v>18</v>
      </c>
      <c r="K93" s="51"/>
      <c r="L93" s="52"/>
      <c r="M93" s="52"/>
      <c r="N93" s="92"/>
      <c r="O93" s="52"/>
      <c r="P93" s="52">
        <f t="shared" si="4"/>
        <v>0</v>
      </c>
      <c r="Q93" s="24">
        <v>155</v>
      </c>
      <c r="R93" s="5"/>
    </row>
    <row r="94" spans="1:18" ht="18.75" customHeight="1">
      <c r="A94" s="24"/>
      <c r="B94" s="115">
        <v>45710</v>
      </c>
      <c r="C94" s="5" t="str">
        <f t="shared" si="3"/>
        <v>Jane Dobbie</v>
      </c>
      <c r="D94" s="19" t="s">
        <v>529</v>
      </c>
      <c r="E94" s="19" t="s">
        <v>530</v>
      </c>
      <c r="F94" s="5"/>
      <c r="G94" s="5" t="s">
        <v>531</v>
      </c>
      <c r="H94" s="5" t="s">
        <v>532</v>
      </c>
      <c r="I94" s="5" t="s">
        <v>424</v>
      </c>
      <c r="J94" s="5" t="s">
        <v>18</v>
      </c>
      <c r="K94" s="51"/>
      <c r="L94" s="52"/>
      <c r="M94" s="52"/>
      <c r="N94" s="92"/>
      <c r="O94" s="52"/>
      <c r="P94" s="52">
        <f t="shared" si="4"/>
        <v>0</v>
      </c>
      <c r="Q94" s="24">
        <v>24</v>
      </c>
      <c r="R94" s="5"/>
    </row>
    <row r="95" spans="1:18" ht="18.75" customHeight="1">
      <c r="A95" s="24"/>
      <c r="B95" s="115">
        <v>45776</v>
      </c>
      <c r="C95" s="5" t="str">
        <f t="shared" si="3"/>
        <v>Jane Smith</v>
      </c>
      <c r="D95" s="5" t="s">
        <v>529</v>
      </c>
      <c r="E95" s="5" t="s">
        <v>715</v>
      </c>
      <c r="F95" s="5"/>
      <c r="G95" s="5"/>
      <c r="H95" s="5" t="s">
        <v>716</v>
      </c>
      <c r="I95" s="5" t="s">
        <v>424</v>
      </c>
      <c r="J95" s="5" t="s">
        <v>18</v>
      </c>
      <c r="K95" s="51"/>
      <c r="L95" s="52"/>
      <c r="M95" s="52"/>
      <c r="N95" s="92"/>
      <c r="O95" s="52"/>
      <c r="P95" s="52">
        <f t="shared" si="4"/>
        <v>0</v>
      </c>
      <c r="Q95" s="24">
        <v>79</v>
      </c>
      <c r="R95" s="5"/>
    </row>
    <row r="96" spans="1:18" ht="18.75" customHeight="1">
      <c r="A96" s="24"/>
      <c r="B96" s="115">
        <v>45927</v>
      </c>
      <c r="C96" s="5" t="str">
        <f t="shared" si="3"/>
        <v>Jane  Whiting</v>
      </c>
      <c r="D96" s="5" t="s">
        <v>1150</v>
      </c>
      <c r="E96" s="5" t="s">
        <v>1151</v>
      </c>
      <c r="F96" s="5" t="s">
        <v>1152</v>
      </c>
      <c r="G96" s="5" t="s">
        <v>1153</v>
      </c>
      <c r="H96" s="5" t="s">
        <v>1154</v>
      </c>
      <c r="I96" s="5" t="s">
        <v>424</v>
      </c>
      <c r="J96" s="5" t="s">
        <v>18</v>
      </c>
      <c r="K96" s="51"/>
      <c r="L96" s="52"/>
      <c r="M96" s="52"/>
      <c r="N96" s="92"/>
      <c r="O96" s="52"/>
      <c r="P96" s="52">
        <f t="shared" si="4"/>
        <v>0</v>
      </c>
      <c r="Q96" s="24">
        <v>209</v>
      </c>
      <c r="R96" s="5"/>
    </row>
    <row r="97" spans="1:18" ht="18.75" customHeight="1">
      <c r="A97" s="24"/>
      <c r="B97" s="115">
        <v>45780</v>
      </c>
      <c r="C97" s="5" t="str">
        <f t="shared" si="3"/>
        <v>Jane-Louise Taberer</v>
      </c>
      <c r="D97" s="5" t="s">
        <v>785</v>
      </c>
      <c r="E97" s="5" t="s">
        <v>786</v>
      </c>
      <c r="F97" s="5" t="s">
        <v>637</v>
      </c>
      <c r="G97" s="5" t="s">
        <v>638</v>
      </c>
      <c r="H97" s="5" t="s">
        <v>787</v>
      </c>
      <c r="I97" s="5" t="s">
        <v>424</v>
      </c>
      <c r="J97" s="5" t="s">
        <v>769</v>
      </c>
      <c r="K97" s="51"/>
      <c r="L97" s="52"/>
      <c r="M97" s="52"/>
      <c r="N97" s="92"/>
      <c r="O97" s="52"/>
      <c r="P97" s="52">
        <f t="shared" si="4"/>
        <v>0</v>
      </c>
      <c r="Q97" s="24">
        <v>103</v>
      </c>
      <c r="R97" s="5"/>
    </row>
    <row r="98" spans="1:18" ht="18.75" customHeight="1">
      <c r="A98" s="24"/>
      <c r="B98" s="115">
        <v>45890</v>
      </c>
      <c r="C98" s="5" t="str">
        <f t="shared" si="3"/>
        <v>Janet O’Brien</v>
      </c>
      <c r="D98" s="5" t="s">
        <v>1050</v>
      </c>
      <c r="E98" s="5" t="s">
        <v>1051</v>
      </c>
      <c r="F98" s="5" t="s">
        <v>915</v>
      </c>
      <c r="G98" s="5" t="s">
        <v>1052</v>
      </c>
      <c r="H98" s="5" t="s">
        <v>1053</v>
      </c>
      <c r="I98" s="5" t="s">
        <v>424</v>
      </c>
      <c r="J98" s="5" t="s">
        <v>769</v>
      </c>
      <c r="K98" s="51"/>
      <c r="L98" s="52"/>
      <c r="M98" s="52"/>
      <c r="N98" s="92"/>
      <c r="O98" s="52"/>
      <c r="P98" s="52">
        <f t="shared" ref="P98:P129" si="5">L98+M98+N98+O98</f>
        <v>0</v>
      </c>
      <c r="Q98" s="24">
        <v>182</v>
      </c>
      <c r="R98" s="5"/>
    </row>
    <row r="99" spans="1:18" ht="18.75" customHeight="1">
      <c r="A99" s="24"/>
      <c r="B99" s="115">
        <v>45780</v>
      </c>
      <c r="C99" s="5" t="str">
        <f t="shared" si="3"/>
        <v>Janice Stuart</v>
      </c>
      <c r="D99" s="5" t="s">
        <v>788</v>
      </c>
      <c r="E99" s="5" t="s">
        <v>603</v>
      </c>
      <c r="F99" s="5" t="s">
        <v>1471</v>
      </c>
      <c r="G99" s="5" t="s">
        <v>790</v>
      </c>
      <c r="H99" s="5" t="s">
        <v>791</v>
      </c>
      <c r="I99" s="5" t="s">
        <v>424</v>
      </c>
      <c r="J99" s="5" t="s">
        <v>769</v>
      </c>
      <c r="K99" s="51"/>
      <c r="L99" s="52"/>
      <c r="M99" s="52"/>
      <c r="N99" s="92"/>
      <c r="O99" s="52"/>
      <c r="P99" s="52">
        <f t="shared" si="5"/>
        <v>0</v>
      </c>
      <c r="Q99" s="24">
        <v>104</v>
      </c>
      <c r="R99" s="5"/>
    </row>
    <row r="100" spans="1:18" ht="18.75" customHeight="1">
      <c r="A100" s="24"/>
      <c r="B100" s="115">
        <v>45710</v>
      </c>
      <c r="C100" s="5" t="str">
        <f t="shared" si="3"/>
        <v>Jean Parry</v>
      </c>
      <c r="D100" s="19" t="s">
        <v>1234</v>
      </c>
      <c r="E100" s="19" t="s">
        <v>520</v>
      </c>
      <c r="F100" s="5"/>
      <c r="G100" s="5" t="s">
        <v>522</v>
      </c>
      <c r="H100" s="5" t="s">
        <v>523</v>
      </c>
      <c r="I100" s="5" t="s">
        <v>424</v>
      </c>
      <c r="J100" s="5" t="s">
        <v>18</v>
      </c>
      <c r="K100" s="51"/>
      <c r="L100" s="52"/>
      <c r="M100" s="52"/>
      <c r="N100" s="92"/>
      <c r="O100" s="52"/>
      <c r="P100" s="52">
        <f t="shared" si="5"/>
        <v>0</v>
      </c>
      <c r="Q100" s="24">
        <v>22</v>
      </c>
      <c r="R100" s="5"/>
    </row>
    <row r="101" spans="1:18" ht="18.75" customHeight="1">
      <c r="A101" s="24"/>
      <c r="B101" s="115">
        <v>45930</v>
      </c>
      <c r="C101" s="5" t="str">
        <f t="shared" si="3"/>
        <v>Jean Stemp</v>
      </c>
      <c r="D101" s="5" t="s">
        <v>1234</v>
      </c>
      <c r="E101" s="5" t="s">
        <v>1235</v>
      </c>
      <c r="F101" s="5" t="s">
        <v>362</v>
      </c>
      <c r="G101" s="5" t="s">
        <v>1236</v>
      </c>
      <c r="H101" s="5" t="s">
        <v>1237</v>
      </c>
      <c r="I101" s="5" t="s">
        <v>424</v>
      </c>
      <c r="J101" s="5" t="s">
        <v>867</v>
      </c>
      <c r="K101" s="51"/>
      <c r="L101" s="52"/>
      <c r="M101" s="52"/>
      <c r="N101" s="92"/>
      <c r="O101" s="52"/>
      <c r="P101" s="52">
        <f t="shared" si="5"/>
        <v>0</v>
      </c>
      <c r="Q101" s="24">
        <v>233</v>
      </c>
      <c r="R101" s="5"/>
    </row>
    <row r="102" spans="1:18" ht="18.75" customHeight="1">
      <c r="A102" s="24"/>
      <c r="B102" s="115">
        <v>45927</v>
      </c>
      <c r="C102" s="5" t="str">
        <f t="shared" si="3"/>
        <v>Jeannette Brown</v>
      </c>
      <c r="D102" s="5" t="s">
        <v>1155</v>
      </c>
      <c r="E102" s="5" t="s">
        <v>525</v>
      </c>
      <c r="F102" s="5" t="s">
        <v>1156</v>
      </c>
      <c r="G102" s="5" t="s">
        <v>399</v>
      </c>
      <c r="H102" s="5" t="s">
        <v>393</v>
      </c>
      <c r="I102" s="5" t="s">
        <v>424</v>
      </c>
      <c r="J102" s="5" t="s">
        <v>19</v>
      </c>
      <c r="K102" s="51">
        <v>45927</v>
      </c>
      <c r="L102" s="52">
        <v>5</v>
      </c>
      <c r="M102" s="52">
        <v>25</v>
      </c>
      <c r="N102" s="92">
        <v>-1.48</v>
      </c>
      <c r="O102" s="52"/>
      <c r="P102" s="52">
        <f t="shared" si="5"/>
        <v>28.52</v>
      </c>
      <c r="Q102" s="24">
        <v>210</v>
      </c>
      <c r="R102" s="5" t="s">
        <v>1157</v>
      </c>
    </row>
    <row r="103" spans="1:18" ht="18.75" customHeight="1">
      <c r="A103" s="24"/>
      <c r="B103" s="115">
        <v>45710</v>
      </c>
      <c r="C103" s="5" t="str">
        <f t="shared" si="3"/>
        <v>Jenny Upton</v>
      </c>
      <c r="D103" s="19" t="s">
        <v>533</v>
      </c>
      <c r="E103" s="19" t="s">
        <v>534</v>
      </c>
      <c r="F103" s="5"/>
      <c r="G103" s="5" t="s">
        <v>219</v>
      </c>
      <c r="H103" s="5" t="s">
        <v>535</v>
      </c>
      <c r="I103" s="5" t="s">
        <v>424</v>
      </c>
      <c r="J103" s="5" t="s">
        <v>18</v>
      </c>
      <c r="K103" s="51"/>
      <c r="L103" s="52"/>
      <c r="M103" s="52"/>
      <c r="N103" s="92"/>
      <c r="O103" s="52"/>
      <c r="P103" s="52">
        <f t="shared" si="5"/>
        <v>0</v>
      </c>
      <c r="Q103" s="24">
        <v>25</v>
      </c>
      <c r="R103" s="5"/>
    </row>
    <row r="104" spans="1:18" ht="18.75" customHeight="1">
      <c r="A104" s="24"/>
      <c r="B104" s="114">
        <v>45770</v>
      </c>
      <c r="C104" s="25" t="str">
        <f t="shared" si="3"/>
        <v>Jenny Lomas</v>
      </c>
      <c r="D104" s="25" t="s">
        <v>533</v>
      </c>
      <c r="E104" s="25" t="s">
        <v>691</v>
      </c>
      <c r="F104" s="25"/>
      <c r="G104" s="25"/>
      <c r="H104" s="25" t="s">
        <v>323</v>
      </c>
      <c r="I104" s="25" t="s">
        <v>424</v>
      </c>
      <c r="J104" s="25" t="s">
        <v>620</v>
      </c>
      <c r="K104" s="53"/>
      <c r="L104" s="54"/>
      <c r="M104" s="54"/>
      <c r="N104" s="93"/>
      <c r="O104" s="52"/>
      <c r="P104" s="52">
        <f t="shared" si="5"/>
        <v>0</v>
      </c>
      <c r="Q104" s="24">
        <v>71</v>
      </c>
      <c r="R104" s="25" t="s">
        <v>443</v>
      </c>
    </row>
    <row r="105" spans="1:18" ht="18.75" customHeight="1">
      <c r="A105" s="24"/>
      <c r="B105" s="115">
        <v>45822</v>
      </c>
      <c r="C105" s="5" t="str">
        <f t="shared" si="3"/>
        <v>Jenny Burnell</v>
      </c>
      <c r="D105" s="5" t="s">
        <v>533</v>
      </c>
      <c r="E105" s="5" t="s">
        <v>978</v>
      </c>
      <c r="F105" s="5" t="s">
        <v>1472</v>
      </c>
      <c r="G105" s="5" t="s">
        <v>980</v>
      </c>
      <c r="H105" s="5" t="s">
        <v>981</v>
      </c>
      <c r="I105" s="5" t="s">
        <v>424</v>
      </c>
      <c r="J105" s="5" t="s">
        <v>18</v>
      </c>
      <c r="K105" s="51"/>
      <c r="L105" s="54"/>
      <c r="M105" s="54"/>
      <c r="N105" s="93"/>
      <c r="O105" s="52"/>
      <c r="P105" s="52">
        <f t="shared" si="5"/>
        <v>0</v>
      </c>
      <c r="Q105" s="24">
        <v>156</v>
      </c>
      <c r="R105" s="5"/>
    </row>
    <row r="106" spans="1:18" s="16" customFormat="1" ht="18.75" customHeight="1">
      <c r="A106" s="24"/>
      <c r="B106" s="115">
        <v>45778</v>
      </c>
      <c r="C106" s="5" t="str">
        <f t="shared" si="3"/>
        <v>Jesus Garcia-Robaina</v>
      </c>
      <c r="D106" s="5" t="s">
        <v>744</v>
      </c>
      <c r="E106" s="5" t="s">
        <v>745</v>
      </c>
      <c r="F106" s="5"/>
      <c r="G106" s="5"/>
      <c r="H106" s="5" t="s">
        <v>746</v>
      </c>
      <c r="I106" s="5" t="s">
        <v>424</v>
      </c>
      <c r="J106" s="5" t="s">
        <v>18</v>
      </c>
      <c r="K106" s="51"/>
      <c r="L106" s="52"/>
      <c r="M106" s="52"/>
      <c r="N106" s="92"/>
      <c r="O106" s="52"/>
      <c r="P106" s="52">
        <f t="shared" si="5"/>
        <v>0</v>
      </c>
      <c r="Q106" s="24">
        <v>89</v>
      </c>
      <c r="R106" s="5"/>
    </row>
    <row r="107" spans="1:18" ht="18.75" customHeight="1">
      <c r="A107" s="24"/>
      <c r="B107" s="115">
        <v>45927</v>
      </c>
      <c r="C107" s="5" t="str">
        <f t="shared" si="3"/>
        <v>Jill Palin</v>
      </c>
      <c r="D107" s="5" t="s">
        <v>1159</v>
      </c>
      <c r="E107" s="5" t="s">
        <v>1160</v>
      </c>
      <c r="F107" s="5" t="s">
        <v>423</v>
      </c>
      <c r="G107" s="5" t="s">
        <v>1161</v>
      </c>
      <c r="H107" s="5" t="s">
        <v>1162</v>
      </c>
      <c r="I107" s="5" t="s">
        <v>424</v>
      </c>
      <c r="J107" s="5" t="s">
        <v>18</v>
      </c>
      <c r="K107" s="51"/>
      <c r="L107" s="52"/>
      <c r="M107" s="52"/>
      <c r="N107" s="92"/>
      <c r="O107" s="52"/>
      <c r="P107" s="52">
        <f t="shared" si="5"/>
        <v>0</v>
      </c>
      <c r="Q107" s="24">
        <v>211</v>
      </c>
      <c r="R107" s="5"/>
    </row>
    <row r="108" spans="1:18" ht="18.75" customHeight="1">
      <c r="A108" s="24"/>
      <c r="B108" s="115">
        <v>45781</v>
      </c>
      <c r="C108" s="5" t="str">
        <f t="shared" si="3"/>
        <v>Jillian Webb</v>
      </c>
      <c r="D108" s="5" t="s">
        <v>839</v>
      </c>
      <c r="E108" s="5" t="s">
        <v>840</v>
      </c>
      <c r="F108" s="5"/>
      <c r="G108" s="5"/>
      <c r="H108" s="7" t="s">
        <v>841</v>
      </c>
      <c r="I108" s="5" t="s">
        <v>424</v>
      </c>
      <c r="J108" s="5" t="s">
        <v>769</v>
      </c>
      <c r="K108" s="51">
        <v>45782</v>
      </c>
      <c r="L108" s="52">
        <v>5</v>
      </c>
      <c r="M108" s="52"/>
      <c r="N108" s="92">
        <v>-0.45</v>
      </c>
      <c r="O108" s="52"/>
      <c r="P108" s="52">
        <f t="shared" si="5"/>
        <v>4.55</v>
      </c>
      <c r="Q108" s="24">
        <v>119</v>
      </c>
      <c r="R108" s="5"/>
    </row>
    <row r="109" spans="1:18" ht="18.75" customHeight="1">
      <c r="A109" s="24"/>
      <c r="B109" s="115">
        <v>45822</v>
      </c>
      <c r="C109" s="5" t="str">
        <f t="shared" si="3"/>
        <v>Jo McLuckey</v>
      </c>
      <c r="D109" s="19" t="s">
        <v>982</v>
      </c>
      <c r="E109" s="19" t="s">
        <v>1473</v>
      </c>
      <c r="F109" s="5" t="s">
        <v>915</v>
      </c>
      <c r="G109" s="5" t="s">
        <v>916</v>
      </c>
      <c r="H109" s="5" t="s">
        <v>983</v>
      </c>
      <c r="I109" s="5" t="s">
        <v>424</v>
      </c>
      <c r="J109" s="5" t="s">
        <v>18</v>
      </c>
      <c r="K109" s="51"/>
      <c r="L109" s="52"/>
      <c r="M109" s="52"/>
      <c r="N109" s="92"/>
      <c r="O109" s="52"/>
      <c r="P109" s="52">
        <f t="shared" si="5"/>
        <v>0</v>
      </c>
      <c r="Q109" s="24">
        <v>157</v>
      </c>
      <c r="R109" s="5"/>
    </row>
    <row r="110" spans="1:18" ht="18.75" customHeight="1">
      <c r="A110" s="24"/>
      <c r="B110" s="115">
        <v>45822</v>
      </c>
      <c r="C110" s="5" t="str">
        <f t="shared" si="3"/>
        <v>Joan Fox</v>
      </c>
      <c r="D110" s="5" t="s">
        <v>985</v>
      </c>
      <c r="E110" s="19" t="s">
        <v>986</v>
      </c>
      <c r="F110" s="5" t="s">
        <v>1474</v>
      </c>
      <c r="G110" s="5" t="s">
        <v>662</v>
      </c>
      <c r="H110" s="5" t="s">
        <v>987</v>
      </c>
      <c r="I110" s="5" t="s">
        <v>424</v>
      </c>
      <c r="J110" s="5" t="s">
        <v>18</v>
      </c>
      <c r="K110" s="51"/>
      <c r="L110" s="52"/>
      <c r="M110" s="52"/>
      <c r="N110" s="92"/>
      <c r="O110" s="52"/>
      <c r="P110" s="52">
        <f t="shared" si="5"/>
        <v>0</v>
      </c>
      <c r="Q110" s="24">
        <v>158</v>
      </c>
      <c r="R110" s="5"/>
    </row>
    <row r="111" spans="1:18" ht="18.75" customHeight="1">
      <c r="A111" s="24"/>
      <c r="B111" s="115">
        <v>45822</v>
      </c>
      <c r="C111" s="5" t="str">
        <f t="shared" si="3"/>
        <v>Joan Nicolson</v>
      </c>
      <c r="D111" s="19" t="s">
        <v>985</v>
      </c>
      <c r="E111" s="19" t="s">
        <v>988</v>
      </c>
      <c r="F111" s="5" t="s">
        <v>441</v>
      </c>
      <c r="G111" s="5" t="s">
        <v>348</v>
      </c>
      <c r="H111" s="5"/>
      <c r="I111" s="5" t="s">
        <v>424</v>
      </c>
      <c r="J111" s="5" t="s">
        <v>18</v>
      </c>
      <c r="K111" s="51"/>
      <c r="L111" s="52"/>
      <c r="M111" s="52"/>
      <c r="N111" s="92"/>
      <c r="O111" s="52"/>
      <c r="P111" s="52">
        <f t="shared" si="5"/>
        <v>0</v>
      </c>
      <c r="Q111" s="24">
        <v>159</v>
      </c>
      <c r="R111" s="5"/>
    </row>
    <row r="112" spans="1:18" ht="18.75" customHeight="1">
      <c r="A112" s="24"/>
      <c r="B112" s="114">
        <v>45710</v>
      </c>
      <c r="C112" s="25" t="str">
        <f t="shared" si="3"/>
        <v>John Dickens</v>
      </c>
      <c r="D112" s="27" t="s">
        <v>428</v>
      </c>
      <c r="E112" s="27" t="s">
        <v>429</v>
      </c>
      <c r="F112" s="25" t="s">
        <v>142</v>
      </c>
      <c r="G112" s="25" t="s">
        <v>430</v>
      </c>
      <c r="H112" s="25" t="s">
        <v>1</v>
      </c>
      <c r="I112" s="25" t="s">
        <v>424</v>
      </c>
      <c r="J112" s="25" t="s">
        <v>9</v>
      </c>
      <c r="K112" s="53">
        <v>45776</v>
      </c>
      <c r="L112" s="54">
        <v>5</v>
      </c>
      <c r="M112" s="54"/>
      <c r="N112" s="92">
        <v>-0.45</v>
      </c>
      <c r="O112" s="52"/>
      <c r="P112" s="52">
        <f t="shared" si="5"/>
        <v>4.55</v>
      </c>
      <c r="Q112" s="24">
        <v>1</v>
      </c>
      <c r="R112" s="25" t="s">
        <v>432</v>
      </c>
    </row>
    <row r="113" spans="1:18" ht="18.75" customHeight="1">
      <c r="A113" s="24"/>
      <c r="B113" s="115">
        <v>45710</v>
      </c>
      <c r="C113" s="5" t="str">
        <f t="shared" si="3"/>
        <v>John Ibbett</v>
      </c>
      <c r="D113" s="19" t="s">
        <v>428</v>
      </c>
      <c r="E113" s="19" t="s">
        <v>541</v>
      </c>
      <c r="F113" s="5" t="s">
        <v>542</v>
      </c>
      <c r="G113" s="5" t="s">
        <v>543</v>
      </c>
      <c r="H113" s="5" t="s">
        <v>544</v>
      </c>
      <c r="I113" s="5" t="s">
        <v>424</v>
      </c>
      <c r="J113" s="5" t="s">
        <v>18</v>
      </c>
      <c r="K113" s="51"/>
      <c r="L113" s="52"/>
      <c r="M113" s="52"/>
      <c r="N113" s="92"/>
      <c r="O113" s="52"/>
      <c r="P113" s="52">
        <f t="shared" si="5"/>
        <v>0</v>
      </c>
      <c r="Q113" s="24">
        <v>27</v>
      </c>
      <c r="R113" s="5"/>
    </row>
    <row r="114" spans="1:18" ht="18.75" customHeight="1">
      <c r="A114" s="24"/>
      <c r="B114" s="115">
        <v>45710</v>
      </c>
      <c r="C114" s="5" t="str">
        <f t="shared" si="3"/>
        <v>John Purser</v>
      </c>
      <c r="D114" s="19" t="s">
        <v>428</v>
      </c>
      <c r="E114" s="19" t="s">
        <v>545</v>
      </c>
      <c r="F114" s="5"/>
      <c r="G114" s="5" t="s">
        <v>547</v>
      </c>
      <c r="H114" s="5" t="s">
        <v>548</v>
      </c>
      <c r="I114" s="5" t="s">
        <v>424</v>
      </c>
      <c r="J114" s="5" t="s">
        <v>18</v>
      </c>
      <c r="K114" s="51"/>
      <c r="L114" s="52"/>
      <c r="M114" s="52"/>
      <c r="N114" s="92"/>
      <c r="O114" s="52"/>
      <c r="P114" s="52">
        <f t="shared" si="5"/>
        <v>0</v>
      </c>
      <c r="Q114" s="24">
        <v>28</v>
      </c>
      <c r="R114" s="5"/>
    </row>
    <row r="115" spans="1:18" ht="18.75" customHeight="1">
      <c r="A115" s="24"/>
      <c r="B115" s="115">
        <v>45763</v>
      </c>
      <c r="C115" s="5" t="str">
        <f t="shared" si="3"/>
        <v>John Swaffield</v>
      </c>
      <c r="D115" s="5" t="s">
        <v>428</v>
      </c>
      <c r="E115" s="5" t="s">
        <v>647</v>
      </c>
      <c r="F115" s="5"/>
      <c r="G115" s="5"/>
      <c r="H115" s="5" t="s">
        <v>195</v>
      </c>
      <c r="I115" s="5" t="s">
        <v>424</v>
      </c>
      <c r="J115" s="5" t="s">
        <v>620</v>
      </c>
      <c r="K115" s="51">
        <v>45985</v>
      </c>
      <c r="L115" s="52">
        <v>5</v>
      </c>
      <c r="M115" s="52"/>
      <c r="N115" s="92">
        <v>-0.45</v>
      </c>
      <c r="O115" s="52"/>
      <c r="P115" s="52">
        <f t="shared" si="5"/>
        <v>4.55</v>
      </c>
      <c r="Q115" s="24">
        <v>56</v>
      </c>
      <c r="R115" s="5"/>
    </row>
    <row r="116" spans="1:18" ht="18.75" customHeight="1">
      <c r="A116" s="24"/>
      <c r="B116" s="115">
        <v>45771</v>
      </c>
      <c r="C116" s="5" t="str">
        <f t="shared" si="3"/>
        <v>John Kielty</v>
      </c>
      <c r="D116" s="5" t="s">
        <v>428</v>
      </c>
      <c r="E116" s="5" t="s">
        <v>434</v>
      </c>
      <c r="F116" s="5" t="s">
        <v>702</v>
      </c>
      <c r="G116" s="5" t="s">
        <v>703</v>
      </c>
      <c r="H116" s="5" t="s">
        <v>704</v>
      </c>
      <c r="I116" s="5" t="s">
        <v>424</v>
      </c>
      <c r="J116" s="5" t="s">
        <v>13</v>
      </c>
      <c r="K116" s="51">
        <v>45776</v>
      </c>
      <c r="L116" s="52"/>
      <c r="M116" s="52"/>
      <c r="N116" s="92"/>
      <c r="O116" s="52">
        <v>5</v>
      </c>
      <c r="P116" s="52">
        <f t="shared" si="5"/>
        <v>5</v>
      </c>
      <c r="Q116" s="24">
        <v>75</v>
      </c>
      <c r="R116" s="5"/>
    </row>
    <row r="117" spans="1:18" ht="18.75" customHeight="1">
      <c r="A117" s="24"/>
      <c r="B117" s="115">
        <v>45776</v>
      </c>
      <c r="C117" s="5" t="str">
        <f t="shared" si="3"/>
        <v>John Bone</v>
      </c>
      <c r="D117" s="5" t="s">
        <v>428</v>
      </c>
      <c r="E117" s="5" t="s">
        <v>717</v>
      </c>
      <c r="F117" s="5"/>
      <c r="G117" s="5"/>
      <c r="H117" s="5" t="s">
        <v>718</v>
      </c>
      <c r="I117" s="5" t="s">
        <v>424</v>
      </c>
      <c r="J117" s="5" t="s">
        <v>18</v>
      </c>
      <c r="K117" s="51"/>
      <c r="L117" s="52"/>
      <c r="M117" s="52"/>
      <c r="N117" s="92"/>
      <c r="O117" s="52"/>
      <c r="P117" s="52">
        <f t="shared" si="5"/>
        <v>0</v>
      </c>
      <c r="Q117" s="24">
        <v>80</v>
      </c>
      <c r="R117" s="5"/>
    </row>
    <row r="118" spans="1:18" ht="18.75" customHeight="1">
      <c r="A118" s="24"/>
      <c r="B118" s="115">
        <v>45776</v>
      </c>
      <c r="C118" s="5" t="str">
        <f t="shared" si="3"/>
        <v>John Wasley</v>
      </c>
      <c r="D118" s="5" t="s">
        <v>428</v>
      </c>
      <c r="E118" s="5" t="s">
        <v>719</v>
      </c>
      <c r="F118" s="5" t="s">
        <v>142</v>
      </c>
      <c r="G118" s="5" t="s">
        <v>430</v>
      </c>
      <c r="H118" s="5" t="s">
        <v>316</v>
      </c>
      <c r="I118" s="5" t="s">
        <v>424</v>
      </c>
      <c r="J118" s="5" t="s">
        <v>18</v>
      </c>
      <c r="K118" s="51"/>
      <c r="L118" s="52"/>
      <c r="M118" s="52"/>
      <c r="N118" s="92"/>
      <c r="O118" s="52"/>
      <c r="P118" s="52">
        <f t="shared" si="5"/>
        <v>0</v>
      </c>
      <c r="Q118" s="24">
        <v>81</v>
      </c>
      <c r="R118" s="5"/>
    </row>
    <row r="119" spans="1:18" ht="18.75" customHeight="1">
      <c r="A119" s="24"/>
      <c r="B119" s="115">
        <v>45822</v>
      </c>
      <c r="C119" s="5" t="str">
        <f t="shared" si="3"/>
        <v>John Loydell</v>
      </c>
      <c r="D119" s="19" t="s">
        <v>428</v>
      </c>
      <c r="E119" s="19" t="s">
        <v>989</v>
      </c>
      <c r="F119" s="5" t="s">
        <v>654</v>
      </c>
      <c r="G119" s="5" t="s">
        <v>990</v>
      </c>
      <c r="H119" s="5" t="s">
        <v>991</v>
      </c>
      <c r="I119" s="5" t="s">
        <v>424</v>
      </c>
      <c r="J119" s="5" t="s">
        <v>18</v>
      </c>
      <c r="K119" s="51"/>
      <c r="L119" s="52"/>
      <c r="M119" s="52"/>
      <c r="N119" s="92"/>
      <c r="O119" s="52"/>
      <c r="P119" s="52">
        <f t="shared" si="5"/>
        <v>0</v>
      </c>
      <c r="Q119" s="24">
        <v>160</v>
      </c>
      <c r="R119" s="5"/>
    </row>
    <row r="120" spans="1:18" ht="18.75" customHeight="1">
      <c r="A120" s="24"/>
      <c r="B120" s="115">
        <v>45927</v>
      </c>
      <c r="C120" s="5" t="str">
        <f t="shared" si="3"/>
        <v>John Moseley</v>
      </c>
      <c r="D120" s="5" t="s">
        <v>428</v>
      </c>
      <c r="E120" s="5" t="s">
        <v>1163</v>
      </c>
      <c r="F120" s="5" t="s">
        <v>478</v>
      </c>
      <c r="G120" s="5" t="s">
        <v>219</v>
      </c>
      <c r="H120" s="5" t="s">
        <v>1164</v>
      </c>
      <c r="I120" s="5" t="s">
        <v>424</v>
      </c>
      <c r="J120" s="5" t="s">
        <v>18</v>
      </c>
      <c r="K120" s="51"/>
      <c r="L120" s="52"/>
      <c r="M120" s="52"/>
      <c r="N120" s="92"/>
      <c r="O120" s="52"/>
      <c r="P120" s="52">
        <f t="shared" si="5"/>
        <v>0</v>
      </c>
      <c r="Q120" s="24">
        <v>212</v>
      </c>
      <c r="R120" s="5"/>
    </row>
    <row r="121" spans="1:18" ht="18.75" customHeight="1">
      <c r="A121" s="24"/>
      <c r="B121" s="115">
        <v>45710</v>
      </c>
      <c r="C121" s="5" t="str">
        <f t="shared" si="3"/>
        <v>John &amp; Angela  Burns</v>
      </c>
      <c r="D121" s="5" t="s">
        <v>1475</v>
      </c>
      <c r="E121" s="5" t="s">
        <v>537</v>
      </c>
      <c r="F121" s="5" t="s">
        <v>538</v>
      </c>
      <c r="G121" s="5" t="s">
        <v>539</v>
      </c>
      <c r="H121" s="5" t="s">
        <v>1476</v>
      </c>
      <c r="I121" s="5" t="s">
        <v>424</v>
      </c>
      <c r="J121" s="5" t="s">
        <v>18</v>
      </c>
      <c r="K121" s="51"/>
      <c r="L121" s="52"/>
      <c r="M121" s="52"/>
      <c r="N121" s="92"/>
      <c r="O121" s="52"/>
      <c r="P121" s="52">
        <f t="shared" si="5"/>
        <v>0</v>
      </c>
      <c r="Q121" s="24">
        <v>26</v>
      </c>
      <c r="R121" s="5"/>
    </row>
    <row r="122" spans="1:18" s="8" customFormat="1" ht="18.75" customHeight="1">
      <c r="A122" s="24"/>
      <c r="B122" s="115">
        <v>45833</v>
      </c>
      <c r="C122" s="5" t="str">
        <f t="shared" si="3"/>
        <v>Josephine Beaumont</v>
      </c>
      <c r="D122" s="28" t="s">
        <v>1031</v>
      </c>
      <c r="E122" s="5" t="s">
        <v>1032</v>
      </c>
      <c r="F122" s="5"/>
      <c r="G122" s="20"/>
      <c r="H122" s="5" t="s">
        <v>1033</v>
      </c>
      <c r="I122" s="5" t="s">
        <v>424</v>
      </c>
      <c r="J122" s="5" t="s">
        <v>17</v>
      </c>
      <c r="K122" s="51">
        <v>45833</v>
      </c>
      <c r="L122" s="52">
        <v>5</v>
      </c>
      <c r="M122" s="52"/>
      <c r="N122" s="92">
        <v>-0.45</v>
      </c>
      <c r="O122" s="52"/>
      <c r="P122" s="52">
        <f t="shared" si="5"/>
        <v>4.55</v>
      </c>
      <c r="Q122" s="24">
        <v>176</v>
      </c>
      <c r="R122" s="5"/>
    </row>
    <row r="123" spans="1:18" s="16" customFormat="1" ht="18.75" customHeight="1">
      <c r="A123" s="24"/>
      <c r="B123" s="114">
        <v>45710</v>
      </c>
      <c r="C123" s="25" t="str">
        <f t="shared" si="3"/>
        <v>Julie Holman</v>
      </c>
      <c r="D123" s="27" t="s">
        <v>439</v>
      </c>
      <c r="E123" s="27" t="s">
        <v>440</v>
      </c>
      <c r="F123" s="25"/>
      <c r="G123" s="25" t="s">
        <v>348</v>
      </c>
      <c r="H123" s="25" t="s">
        <v>344</v>
      </c>
      <c r="I123" s="25" t="s">
        <v>424</v>
      </c>
      <c r="J123" s="25" t="s">
        <v>9</v>
      </c>
      <c r="K123" s="53">
        <v>45782</v>
      </c>
      <c r="L123" s="54">
        <v>5</v>
      </c>
      <c r="M123" s="54"/>
      <c r="N123" s="92">
        <v>-0.45</v>
      </c>
      <c r="O123" s="52"/>
      <c r="P123" s="52">
        <f t="shared" si="5"/>
        <v>4.55</v>
      </c>
      <c r="Q123" s="24">
        <v>3</v>
      </c>
      <c r="R123" s="25" t="s">
        <v>443</v>
      </c>
    </row>
    <row r="124" spans="1:18" ht="18.75" customHeight="1">
      <c r="A124" s="24"/>
      <c r="B124" s="115">
        <v>45822</v>
      </c>
      <c r="C124" s="5" t="str">
        <f t="shared" si="3"/>
        <v>Julie McCarthy</v>
      </c>
      <c r="D124" s="5" t="s">
        <v>439</v>
      </c>
      <c r="E124" s="5" t="s">
        <v>992</v>
      </c>
      <c r="F124" s="5" t="s">
        <v>542</v>
      </c>
      <c r="G124" s="5" t="s">
        <v>543</v>
      </c>
      <c r="H124" s="5"/>
      <c r="I124" s="5" t="s">
        <v>424</v>
      </c>
      <c r="J124" s="5" t="s">
        <v>18</v>
      </c>
      <c r="K124" s="51"/>
      <c r="L124" s="52"/>
      <c r="M124" s="52"/>
      <c r="N124" s="92"/>
      <c r="O124" s="52"/>
      <c r="P124" s="52">
        <f t="shared" si="5"/>
        <v>0</v>
      </c>
      <c r="Q124" s="24">
        <v>161</v>
      </c>
      <c r="R124" s="5"/>
    </row>
    <row r="125" spans="1:18" ht="18.75" customHeight="1">
      <c r="A125" s="24"/>
      <c r="B125" s="115">
        <v>45822</v>
      </c>
      <c r="C125" s="5" t="str">
        <f t="shared" si="3"/>
        <v>June Rubley</v>
      </c>
      <c r="D125" s="19" t="s">
        <v>993</v>
      </c>
      <c r="E125" s="19" t="s">
        <v>994</v>
      </c>
      <c r="F125" s="5" t="s">
        <v>692</v>
      </c>
      <c r="G125" s="5" t="s">
        <v>865</v>
      </c>
      <c r="H125" s="5" t="s">
        <v>1477</v>
      </c>
      <c r="I125" s="5" t="s">
        <v>424</v>
      </c>
      <c r="J125" s="5" t="s">
        <v>18</v>
      </c>
      <c r="K125" s="51"/>
      <c r="L125" s="52"/>
      <c r="M125" s="52"/>
      <c r="N125" s="92"/>
      <c r="O125" s="52"/>
      <c r="P125" s="52">
        <f t="shared" si="5"/>
        <v>0</v>
      </c>
      <c r="Q125" s="24">
        <v>162</v>
      </c>
      <c r="R125" s="5"/>
    </row>
    <row r="126" spans="1:18" ht="18.75" customHeight="1">
      <c r="A126" s="24"/>
      <c r="B126" s="115">
        <v>45780</v>
      </c>
      <c r="C126" s="5" t="str">
        <f t="shared" si="3"/>
        <v>Jutta Walker</v>
      </c>
      <c r="D126" s="5" t="s">
        <v>792</v>
      </c>
      <c r="E126" s="5" t="s">
        <v>793</v>
      </c>
      <c r="F126" s="5" t="s">
        <v>637</v>
      </c>
      <c r="G126" s="5" t="s">
        <v>638</v>
      </c>
      <c r="H126" s="5" t="s">
        <v>794</v>
      </c>
      <c r="I126" s="5" t="s">
        <v>424</v>
      </c>
      <c r="J126" s="5" t="s">
        <v>769</v>
      </c>
      <c r="K126" s="51"/>
      <c r="L126" s="52"/>
      <c r="M126" s="52"/>
      <c r="N126" s="92"/>
      <c r="O126" s="52"/>
      <c r="P126" s="52">
        <f t="shared" si="5"/>
        <v>0</v>
      </c>
      <c r="Q126" s="24">
        <v>105</v>
      </c>
      <c r="R126" s="5"/>
    </row>
    <row r="127" spans="1:18" ht="18.75" customHeight="1">
      <c r="A127" s="24"/>
      <c r="B127" s="115">
        <v>45907</v>
      </c>
      <c r="C127" s="5" t="str">
        <f t="shared" si="3"/>
        <v>Karen Mcaleer</v>
      </c>
      <c r="D127" s="5" t="s">
        <v>1086</v>
      </c>
      <c r="E127" s="5" t="s">
        <v>1087</v>
      </c>
      <c r="F127" s="5" t="s">
        <v>1088</v>
      </c>
      <c r="G127" s="5" t="s">
        <v>1089</v>
      </c>
      <c r="H127" s="5" t="s">
        <v>1090</v>
      </c>
      <c r="I127" s="5" t="s">
        <v>424</v>
      </c>
      <c r="J127" s="5" t="s">
        <v>19</v>
      </c>
      <c r="K127" s="51"/>
      <c r="L127" s="52"/>
      <c r="M127" s="52"/>
      <c r="N127" s="92"/>
      <c r="O127" s="52"/>
      <c r="P127" s="52">
        <f t="shared" si="5"/>
        <v>0</v>
      </c>
      <c r="Q127" s="24">
        <v>190</v>
      </c>
      <c r="R127" s="5"/>
    </row>
    <row r="128" spans="1:18" ht="18.75" customHeight="1">
      <c r="A128" s="24"/>
      <c r="B128" s="115">
        <v>45908</v>
      </c>
      <c r="C128" s="5" t="str">
        <f t="shared" si="3"/>
        <v>Karen Hutchins</v>
      </c>
      <c r="D128" s="5" t="s">
        <v>1086</v>
      </c>
      <c r="E128" s="5" t="s">
        <v>1099</v>
      </c>
      <c r="F128" s="29" t="s">
        <v>538</v>
      </c>
      <c r="G128" s="5" t="s">
        <v>539</v>
      </c>
      <c r="H128" s="5" t="s">
        <v>1100</v>
      </c>
      <c r="I128" s="5" t="s">
        <v>424</v>
      </c>
      <c r="J128" s="5" t="s">
        <v>19</v>
      </c>
      <c r="K128" s="51"/>
      <c r="L128" s="52"/>
      <c r="M128" s="52"/>
      <c r="N128" s="92"/>
      <c r="O128" s="52"/>
      <c r="P128" s="52">
        <f t="shared" si="5"/>
        <v>0</v>
      </c>
      <c r="Q128" s="24">
        <v>193</v>
      </c>
      <c r="R128" s="5"/>
    </row>
    <row r="129" spans="1:18" ht="18.75" customHeight="1">
      <c r="A129" s="24"/>
      <c r="B129" s="115">
        <v>45822</v>
      </c>
      <c r="C129" s="5" t="str">
        <f t="shared" si="3"/>
        <v>Kathleen Marshall</v>
      </c>
      <c r="D129" s="19" t="s">
        <v>996</v>
      </c>
      <c r="E129" s="19" t="s">
        <v>997</v>
      </c>
      <c r="F129" s="5" t="s">
        <v>362</v>
      </c>
      <c r="G129" s="5" t="s">
        <v>998</v>
      </c>
      <c r="H129" s="5" t="s">
        <v>243</v>
      </c>
      <c r="I129" s="5" t="s">
        <v>424</v>
      </c>
      <c r="J129" s="5" t="s">
        <v>18</v>
      </c>
      <c r="K129" s="51">
        <v>45986</v>
      </c>
      <c r="L129" s="52">
        <v>5</v>
      </c>
      <c r="M129" s="52"/>
      <c r="N129" s="92">
        <v>-0.45</v>
      </c>
      <c r="O129" s="52"/>
      <c r="P129" s="52">
        <f t="shared" si="5"/>
        <v>4.55</v>
      </c>
      <c r="Q129" s="24">
        <v>163</v>
      </c>
      <c r="R129" s="5"/>
    </row>
    <row r="130" spans="1:18" ht="18.75" customHeight="1">
      <c r="A130" s="24"/>
      <c r="B130" s="115">
        <v>45780</v>
      </c>
      <c r="C130" s="5" t="str">
        <f t="shared" ref="C130:C193" si="6">CONCATENATE(D:D," ",E:E)</f>
        <v>Katie Cousens</v>
      </c>
      <c r="D130" s="5" t="s">
        <v>795</v>
      </c>
      <c r="E130" s="5" t="s">
        <v>748</v>
      </c>
      <c r="F130" s="5" t="s">
        <v>796</v>
      </c>
      <c r="G130" s="21"/>
      <c r="H130" s="5" t="s">
        <v>798</v>
      </c>
      <c r="I130" s="5" t="s">
        <v>424</v>
      </c>
      <c r="J130" s="5" t="s">
        <v>769</v>
      </c>
      <c r="K130" s="51"/>
      <c r="L130" s="52"/>
      <c r="M130" s="52"/>
      <c r="N130" s="92"/>
      <c r="O130" s="52"/>
      <c r="P130" s="52">
        <f t="shared" ref="P130:P133" si="7">L130+M130+N130+O130</f>
        <v>0</v>
      </c>
      <c r="Q130" s="24">
        <v>106</v>
      </c>
      <c r="R130" s="5"/>
    </row>
    <row r="131" spans="1:18" ht="18.75" customHeight="1">
      <c r="A131" s="24"/>
      <c r="B131" s="115">
        <v>45941</v>
      </c>
      <c r="C131" s="5" t="str">
        <f t="shared" si="6"/>
        <v>Kay Hennah</v>
      </c>
      <c r="D131" s="5" t="s">
        <v>1295</v>
      </c>
      <c r="E131" s="5" t="s">
        <v>1296</v>
      </c>
      <c r="F131" s="5" t="s">
        <v>466</v>
      </c>
      <c r="G131" s="5" t="s">
        <v>192</v>
      </c>
      <c r="H131" s="5" t="s">
        <v>1297</v>
      </c>
      <c r="I131" s="5" t="s">
        <v>424</v>
      </c>
      <c r="J131" s="5" t="s">
        <v>16</v>
      </c>
      <c r="K131" s="51">
        <v>45984</v>
      </c>
      <c r="L131" s="52">
        <v>5</v>
      </c>
      <c r="M131" s="52"/>
      <c r="N131" s="92">
        <v>-0.36</v>
      </c>
      <c r="O131" s="52"/>
      <c r="P131" s="52">
        <f t="shared" si="7"/>
        <v>4.6399999999999997</v>
      </c>
      <c r="Q131" s="24">
        <v>251</v>
      </c>
      <c r="R131" s="5"/>
    </row>
    <row r="132" spans="1:18" ht="18.75" customHeight="1">
      <c r="A132" s="24"/>
      <c r="B132" s="115">
        <v>45915</v>
      </c>
      <c r="C132" s="5" t="str">
        <f t="shared" si="6"/>
        <v>Keith Gibson</v>
      </c>
      <c r="D132" s="19" t="s">
        <v>1107</v>
      </c>
      <c r="E132" s="19" t="s">
        <v>1108</v>
      </c>
      <c r="F132" s="5" t="s">
        <v>915</v>
      </c>
      <c r="G132" s="5" t="s">
        <v>1052</v>
      </c>
      <c r="H132" s="5" t="s">
        <v>1109</v>
      </c>
      <c r="I132" s="5" t="s">
        <v>424</v>
      </c>
      <c r="J132" s="5" t="s">
        <v>19</v>
      </c>
      <c r="K132" s="51">
        <v>45915</v>
      </c>
      <c r="L132" s="52">
        <v>5</v>
      </c>
      <c r="M132" s="52"/>
      <c r="N132" s="92">
        <v>-0.45</v>
      </c>
      <c r="O132" s="52"/>
      <c r="P132" s="52">
        <f t="shared" si="7"/>
        <v>4.55</v>
      </c>
      <c r="Q132" s="24">
        <v>196</v>
      </c>
      <c r="R132" s="5"/>
    </row>
    <row r="133" spans="1:18" ht="18.75" customHeight="1">
      <c r="A133" s="24"/>
      <c r="B133" s="115">
        <v>45927</v>
      </c>
      <c r="C133" s="5" t="str">
        <f t="shared" si="6"/>
        <v>Keith Claxton</v>
      </c>
      <c r="D133" s="5" t="s">
        <v>1107</v>
      </c>
      <c r="E133" s="5" t="s">
        <v>611</v>
      </c>
      <c r="F133" s="5" t="s">
        <v>1165</v>
      </c>
      <c r="G133" s="5" t="s">
        <v>486</v>
      </c>
      <c r="H133" s="5" t="s">
        <v>1166</v>
      </c>
      <c r="I133" s="5" t="s">
        <v>424</v>
      </c>
      <c r="J133" s="5" t="s">
        <v>18</v>
      </c>
      <c r="K133" s="51"/>
      <c r="L133" s="52"/>
      <c r="M133" s="52"/>
      <c r="N133" s="92"/>
      <c r="O133" s="52"/>
      <c r="P133" s="52">
        <f t="shared" si="7"/>
        <v>0</v>
      </c>
      <c r="Q133" s="24">
        <v>213</v>
      </c>
      <c r="R133" s="5"/>
    </row>
    <row r="134" spans="1:18" ht="18.75" customHeight="1">
      <c r="A134" s="24"/>
      <c r="B134" s="115">
        <v>45927</v>
      </c>
      <c r="C134" s="5" t="str">
        <f t="shared" si="6"/>
        <v>Keith Robinson</v>
      </c>
      <c r="D134" s="5" t="s">
        <v>1107</v>
      </c>
      <c r="E134" s="5" t="s">
        <v>422</v>
      </c>
      <c r="F134" s="5" t="s">
        <v>423</v>
      </c>
      <c r="G134" s="5"/>
      <c r="H134" s="5" t="s">
        <v>1478</v>
      </c>
      <c r="I134" s="5" t="s">
        <v>424</v>
      </c>
      <c r="J134" s="5" t="s">
        <v>14</v>
      </c>
      <c r="K134" s="51">
        <v>45987</v>
      </c>
      <c r="L134" s="140"/>
      <c r="M134" s="52"/>
      <c r="N134" s="92"/>
      <c r="O134" s="52">
        <v>5</v>
      </c>
      <c r="P134" s="52">
        <v>5</v>
      </c>
      <c r="Q134" s="24">
        <v>214</v>
      </c>
      <c r="R134" s="5"/>
    </row>
    <row r="135" spans="1:18" s="16" customFormat="1" ht="18.75" customHeight="1">
      <c r="A135" s="24"/>
      <c r="B135" s="115">
        <v>45930</v>
      </c>
      <c r="C135" s="5" t="str">
        <f t="shared" si="6"/>
        <v>Kelly Rose Bradford</v>
      </c>
      <c r="D135" s="5" t="s">
        <v>1238</v>
      </c>
      <c r="E135" s="5" t="s">
        <v>1239</v>
      </c>
      <c r="F135" s="5" t="s">
        <v>142</v>
      </c>
      <c r="G135" s="5" t="s">
        <v>430</v>
      </c>
      <c r="H135" s="5" t="s">
        <v>1240</v>
      </c>
      <c r="I135" s="5" t="s">
        <v>424</v>
      </c>
      <c r="J135" s="5" t="s">
        <v>16</v>
      </c>
      <c r="K135" s="51"/>
      <c r="L135" s="52"/>
      <c r="M135" s="52"/>
      <c r="N135" s="92"/>
      <c r="O135" s="52"/>
      <c r="P135" s="52">
        <f t="shared" ref="P135:P166" si="8">L135+M135+N135+O135</f>
        <v>0</v>
      </c>
      <c r="Q135" s="24">
        <v>234</v>
      </c>
      <c r="R135" s="5"/>
    </row>
    <row r="136" spans="1:18" ht="18.75" customHeight="1">
      <c r="A136" s="24"/>
      <c r="B136" s="115">
        <v>45927</v>
      </c>
      <c r="C136" s="5" t="str">
        <f t="shared" si="6"/>
        <v>Kevin Swinburn</v>
      </c>
      <c r="D136" s="5" t="s">
        <v>1169</v>
      </c>
      <c r="E136" s="5" t="s">
        <v>1170</v>
      </c>
      <c r="F136" s="5" t="s">
        <v>1171</v>
      </c>
      <c r="G136" s="5" t="s">
        <v>1172</v>
      </c>
      <c r="H136" s="5" t="s">
        <v>1173</v>
      </c>
      <c r="I136" s="5" t="s">
        <v>424</v>
      </c>
      <c r="J136" s="5" t="s">
        <v>18</v>
      </c>
      <c r="K136" s="51"/>
      <c r="L136" s="52"/>
      <c r="M136" s="52"/>
      <c r="N136" s="92"/>
      <c r="O136" s="52"/>
      <c r="P136" s="52">
        <f t="shared" si="8"/>
        <v>0</v>
      </c>
      <c r="Q136" s="24">
        <v>215</v>
      </c>
      <c r="R136" s="5"/>
    </row>
    <row r="137" spans="1:18" ht="18.75" customHeight="1">
      <c r="A137" s="24"/>
      <c r="B137" s="115">
        <v>45974</v>
      </c>
      <c r="C137" s="5" t="str">
        <f t="shared" si="6"/>
        <v>Kevin Wise</v>
      </c>
      <c r="D137" s="5" t="s">
        <v>1169</v>
      </c>
      <c r="E137" s="5" t="s">
        <v>823</v>
      </c>
      <c r="F137" s="5" t="s">
        <v>824</v>
      </c>
      <c r="G137" s="5" t="s">
        <v>163</v>
      </c>
      <c r="H137" s="5" t="s">
        <v>158</v>
      </c>
      <c r="I137" s="5"/>
      <c r="J137" s="5" t="s">
        <v>12</v>
      </c>
      <c r="K137" s="51">
        <v>45974</v>
      </c>
      <c r="L137" s="52">
        <v>5</v>
      </c>
      <c r="M137" s="52"/>
      <c r="N137" s="92">
        <v>-0.45</v>
      </c>
      <c r="O137" s="52"/>
      <c r="P137" s="52">
        <f t="shared" si="8"/>
        <v>4.55</v>
      </c>
      <c r="Q137" s="24">
        <v>253</v>
      </c>
      <c r="R137" s="5"/>
    </row>
    <row r="138" spans="1:18" ht="18.75" customHeight="1">
      <c r="A138" s="24"/>
      <c r="B138" s="115">
        <v>45778</v>
      </c>
      <c r="C138" s="5" t="str">
        <f t="shared" si="6"/>
        <v>Kirstie Lucas</v>
      </c>
      <c r="D138" s="5" t="s">
        <v>750</v>
      </c>
      <c r="E138" s="5" t="s">
        <v>751</v>
      </c>
      <c r="F138" s="5"/>
      <c r="G138" s="5"/>
      <c r="H138" s="5" t="s">
        <v>752</v>
      </c>
      <c r="I138" s="5" t="s">
        <v>424</v>
      </c>
      <c r="J138" s="5" t="s">
        <v>18</v>
      </c>
      <c r="K138" s="51"/>
      <c r="L138" s="52"/>
      <c r="M138" s="52"/>
      <c r="N138" s="92"/>
      <c r="O138" s="52"/>
      <c r="P138" s="52">
        <f t="shared" si="8"/>
        <v>0</v>
      </c>
      <c r="Q138" s="24">
        <v>91</v>
      </c>
      <c r="R138" s="5"/>
    </row>
    <row r="139" spans="1:18" ht="18.75" customHeight="1">
      <c r="A139" s="24"/>
      <c r="B139" s="115">
        <v>45782</v>
      </c>
      <c r="C139" s="5" t="str">
        <f t="shared" si="6"/>
        <v>Laura Childs</v>
      </c>
      <c r="D139" s="5" t="s">
        <v>855</v>
      </c>
      <c r="E139" s="5" t="s">
        <v>856</v>
      </c>
      <c r="F139" s="5"/>
      <c r="G139" s="5"/>
      <c r="H139" s="5" t="s">
        <v>857</v>
      </c>
      <c r="I139" s="5" t="s">
        <v>424</v>
      </c>
      <c r="J139" s="5" t="s">
        <v>769</v>
      </c>
      <c r="K139" s="51"/>
      <c r="L139" s="52"/>
      <c r="M139" s="52"/>
      <c r="N139" s="92"/>
      <c r="O139" s="52"/>
      <c r="P139" s="52">
        <f t="shared" si="8"/>
        <v>0</v>
      </c>
      <c r="Q139" s="24">
        <v>123</v>
      </c>
      <c r="R139" s="5"/>
    </row>
    <row r="140" spans="1:18" ht="18.75" customHeight="1">
      <c r="A140" s="24"/>
      <c r="B140" s="115">
        <v>45927</v>
      </c>
      <c r="C140" s="5" t="str">
        <f t="shared" si="6"/>
        <v>Laura Johnson</v>
      </c>
      <c r="D140" s="5" t="s">
        <v>855</v>
      </c>
      <c r="E140" s="5" t="s">
        <v>621</v>
      </c>
      <c r="F140" s="5" t="s">
        <v>1174</v>
      </c>
      <c r="G140" s="5" t="s">
        <v>1175</v>
      </c>
      <c r="H140" s="5" t="s">
        <v>1176</v>
      </c>
      <c r="I140" s="5" t="s">
        <v>424</v>
      </c>
      <c r="J140" s="5" t="s">
        <v>18</v>
      </c>
      <c r="K140" s="51"/>
      <c r="L140" s="52"/>
      <c r="M140" s="52"/>
      <c r="N140" s="92"/>
      <c r="O140" s="52"/>
      <c r="P140" s="52">
        <f t="shared" si="8"/>
        <v>0</v>
      </c>
      <c r="Q140" s="24">
        <v>216</v>
      </c>
      <c r="R140" s="5"/>
    </row>
    <row r="141" spans="1:18" ht="18.75" customHeight="1">
      <c r="A141" s="24"/>
      <c r="B141" s="115">
        <v>45710</v>
      </c>
      <c r="C141" s="5" t="str">
        <f t="shared" si="6"/>
        <v>Linda Bannister</v>
      </c>
      <c r="D141" s="19" t="s">
        <v>550</v>
      </c>
      <c r="E141" s="19" t="s">
        <v>551</v>
      </c>
      <c r="F141" s="5"/>
      <c r="G141" s="5" t="s">
        <v>553</v>
      </c>
      <c r="H141" s="5" t="s">
        <v>554</v>
      </c>
      <c r="I141" s="5" t="s">
        <v>424</v>
      </c>
      <c r="J141" s="5" t="s">
        <v>18</v>
      </c>
      <c r="K141" s="51"/>
      <c r="L141" s="52"/>
      <c r="M141" s="52"/>
      <c r="N141" s="92"/>
      <c r="O141" s="52"/>
      <c r="P141" s="52">
        <f t="shared" si="8"/>
        <v>0</v>
      </c>
      <c r="Q141" s="24">
        <v>29</v>
      </c>
      <c r="R141" s="5"/>
    </row>
    <row r="142" spans="1:18" ht="18.75" customHeight="1">
      <c r="A142" s="24"/>
      <c r="B142" s="115">
        <v>45710</v>
      </c>
      <c r="C142" s="5" t="str">
        <f t="shared" si="6"/>
        <v>Linda Nicolls</v>
      </c>
      <c r="D142" s="19" t="s">
        <v>550</v>
      </c>
      <c r="E142" s="19" t="s">
        <v>555</v>
      </c>
      <c r="F142" s="5"/>
      <c r="G142" s="5" t="s">
        <v>492</v>
      </c>
      <c r="H142" s="5" t="s">
        <v>556</v>
      </c>
      <c r="I142" s="5" t="s">
        <v>424</v>
      </c>
      <c r="J142" s="5" t="s">
        <v>18</v>
      </c>
      <c r="K142" s="51"/>
      <c r="L142" s="52"/>
      <c r="M142" s="52"/>
      <c r="N142" s="92"/>
      <c r="O142" s="52"/>
      <c r="P142" s="52">
        <f t="shared" si="8"/>
        <v>0</v>
      </c>
      <c r="Q142" s="24">
        <v>30</v>
      </c>
      <c r="R142" s="5"/>
    </row>
    <row r="143" spans="1:18" ht="18.75" customHeight="1">
      <c r="A143" s="24"/>
      <c r="B143" s="115">
        <v>45780</v>
      </c>
      <c r="C143" s="5" t="str">
        <f t="shared" si="6"/>
        <v>Linda Neville</v>
      </c>
      <c r="D143" s="5" t="s">
        <v>550</v>
      </c>
      <c r="E143" s="5" t="s">
        <v>800</v>
      </c>
      <c r="F143" s="5" t="s">
        <v>796</v>
      </c>
      <c r="G143" s="5" t="s">
        <v>801</v>
      </c>
      <c r="H143" s="5" t="s">
        <v>802</v>
      </c>
      <c r="I143" s="5" t="s">
        <v>424</v>
      </c>
      <c r="J143" s="5" t="s">
        <v>769</v>
      </c>
      <c r="K143" s="51"/>
      <c r="L143" s="52"/>
      <c r="M143" s="52"/>
      <c r="N143" s="92"/>
      <c r="O143" s="52"/>
      <c r="P143" s="52">
        <f t="shared" si="8"/>
        <v>0</v>
      </c>
      <c r="Q143" s="24">
        <v>107</v>
      </c>
      <c r="R143" s="5"/>
    </row>
    <row r="144" spans="1:18" ht="18.75" customHeight="1">
      <c r="A144" s="24"/>
      <c r="B144" s="115">
        <v>45821</v>
      </c>
      <c r="C144" s="5" t="str">
        <f t="shared" si="6"/>
        <v>Linda Lawrie</v>
      </c>
      <c r="D144" s="5" t="s">
        <v>550</v>
      </c>
      <c r="E144" s="5" t="s">
        <v>928</v>
      </c>
      <c r="F144" s="5"/>
      <c r="G144" s="5"/>
      <c r="H144" s="5" t="s">
        <v>254</v>
      </c>
      <c r="I144" s="5" t="s">
        <v>424</v>
      </c>
      <c r="J144" s="5" t="s">
        <v>14</v>
      </c>
      <c r="K144" s="51">
        <v>46021</v>
      </c>
      <c r="L144" s="52">
        <v>5</v>
      </c>
      <c r="M144" s="52"/>
      <c r="N144" s="92">
        <v>-0.36</v>
      </c>
      <c r="O144" s="52"/>
      <c r="P144" s="52">
        <f t="shared" si="8"/>
        <v>4.6399999999999997</v>
      </c>
      <c r="Q144" s="24">
        <v>142</v>
      </c>
      <c r="R144" s="5"/>
    </row>
    <row r="145" spans="1:18" ht="18.75" customHeight="1">
      <c r="A145" s="24"/>
      <c r="B145" s="115">
        <v>45822</v>
      </c>
      <c r="C145" s="5" t="str">
        <f t="shared" si="6"/>
        <v>Linda Smithers</v>
      </c>
      <c r="D145" s="19" t="s">
        <v>550</v>
      </c>
      <c r="E145" s="19" t="s">
        <v>999</v>
      </c>
      <c r="F145" s="5" t="s">
        <v>142</v>
      </c>
      <c r="G145" s="5" t="s">
        <v>430</v>
      </c>
      <c r="H145" s="5" t="s">
        <v>1000</v>
      </c>
      <c r="I145" s="5" t="s">
        <v>424</v>
      </c>
      <c r="J145" s="5" t="s">
        <v>18</v>
      </c>
      <c r="K145" s="51"/>
      <c r="L145" s="52"/>
      <c r="M145" s="52"/>
      <c r="N145" s="92"/>
      <c r="O145" s="52"/>
      <c r="P145" s="52">
        <f t="shared" si="8"/>
        <v>0</v>
      </c>
      <c r="Q145" s="24">
        <v>164</v>
      </c>
      <c r="R145" s="5"/>
    </row>
    <row r="146" spans="1:18" ht="18.75" customHeight="1">
      <c r="A146" s="24"/>
      <c r="B146" s="115">
        <v>45927</v>
      </c>
      <c r="C146" s="5" t="str">
        <f t="shared" si="6"/>
        <v>Linda Levett</v>
      </c>
      <c r="D146" s="5" t="s">
        <v>550</v>
      </c>
      <c r="E146" s="5" t="s">
        <v>1177</v>
      </c>
      <c r="F146" s="5" t="s">
        <v>1178</v>
      </c>
      <c r="G146" s="5" t="s">
        <v>1179</v>
      </c>
      <c r="H146" s="5" t="s">
        <v>1180</v>
      </c>
      <c r="I146" s="5" t="s">
        <v>424</v>
      </c>
      <c r="J146" s="5" t="s">
        <v>18</v>
      </c>
      <c r="K146" s="51">
        <v>45934</v>
      </c>
      <c r="L146" s="52">
        <v>5</v>
      </c>
      <c r="M146" s="52"/>
      <c r="N146" s="92">
        <v>-0.45</v>
      </c>
      <c r="O146" s="52"/>
      <c r="P146" s="52">
        <f t="shared" si="8"/>
        <v>4.55</v>
      </c>
      <c r="Q146" s="24">
        <v>217</v>
      </c>
      <c r="R146" s="5"/>
    </row>
    <row r="147" spans="1:18" ht="18.75" customHeight="1">
      <c r="A147" s="24"/>
      <c r="B147" s="115">
        <v>45980</v>
      </c>
      <c r="C147" s="5" t="str">
        <f t="shared" si="6"/>
        <v>Linda Foster</v>
      </c>
      <c r="D147" s="5" t="s">
        <v>550</v>
      </c>
      <c r="E147" s="5" t="s">
        <v>1303</v>
      </c>
      <c r="F147" s="5"/>
      <c r="G147" s="5"/>
      <c r="H147" s="5"/>
      <c r="I147" s="5"/>
      <c r="J147" s="5"/>
      <c r="K147" s="51">
        <v>45980</v>
      </c>
      <c r="L147" s="52"/>
      <c r="M147" s="52"/>
      <c r="N147" s="92"/>
      <c r="O147" s="52">
        <v>5</v>
      </c>
      <c r="P147" s="52">
        <f t="shared" si="8"/>
        <v>5</v>
      </c>
      <c r="Q147" s="24">
        <v>254</v>
      </c>
      <c r="R147" s="5"/>
    </row>
    <row r="148" spans="1:18" ht="18.75" customHeight="1">
      <c r="A148" s="24"/>
      <c r="B148" s="115">
        <v>45822</v>
      </c>
      <c r="C148" s="5" t="str">
        <f t="shared" si="6"/>
        <v>Lisa Matthews</v>
      </c>
      <c r="D148" s="19" t="s">
        <v>1001</v>
      </c>
      <c r="E148" s="19" t="s">
        <v>1002</v>
      </c>
      <c r="F148" s="5" t="s">
        <v>423</v>
      </c>
      <c r="G148" s="5" t="s">
        <v>564</v>
      </c>
      <c r="H148" s="5" t="s">
        <v>1003</v>
      </c>
      <c r="I148" s="5" t="s">
        <v>424</v>
      </c>
      <c r="J148" s="5" t="s">
        <v>18</v>
      </c>
      <c r="K148" s="51">
        <v>45987</v>
      </c>
      <c r="L148" s="52">
        <v>5</v>
      </c>
      <c r="M148" s="52"/>
      <c r="N148" s="92"/>
      <c r="O148" s="52"/>
      <c r="P148" s="52">
        <f t="shared" si="8"/>
        <v>5</v>
      </c>
      <c r="Q148" s="24">
        <v>165</v>
      </c>
      <c r="R148" s="101" t="s">
        <v>1004</v>
      </c>
    </row>
    <row r="149" spans="1:18" ht="18.75" customHeight="1">
      <c r="A149" s="24"/>
      <c r="B149" s="115">
        <v>45927</v>
      </c>
      <c r="C149" s="5" t="str">
        <f t="shared" si="6"/>
        <v>Lola Guisado</v>
      </c>
      <c r="D149" s="5" t="s">
        <v>1181</v>
      </c>
      <c r="E149" s="5" t="s">
        <v>1182</v>
      </c>
      <c r="F149" s="5" t="s">
        <v>1183</v>
      </c>
      <c r="G149" s="5" t="s">
        <v>1093</v>
      </c>
      <c r="H149" s="5" t="s">
        <v>1184</v>
      </c>
      <c r="I149" s="5" t="s">
        <v>424</v>
      </c>
      <c r="J149" s="5" t="s">
        <v>18</v>
      </c>
      <c r="K149" s="51"/>
      <c r="L149" s="52"/>
      <c r="M149" s="52"/>
      <c r="N149" s="92"/>
      <c r="O149" s="52"/>
      <c r="P149" s="52">
        <f t="shared" si="8"/>
        <v>0</v>
      </c>
      <c r="Q149" s="24">
        <v>218</v>
      </c>
      <c r="R149" s="5"/>
    </row>
    <row r="150" spans="1:18" ht="18.75" customHeight="1">
      <c r="A150" s="24"/>
      <c r="B150" s="115">
        <v>45822</v>
      </c>
      <c r="C150" s="5" t="str">
        <f t="shared" si="6"/>
        <v>Louise Sears</v>
      </c>
      <c r="D150" s="19" t="s">
        <v>1005</v>
      </c>
      <c r="E150" s="19" t="s">
        <v>1006</v>
      </c>
      <c r="F150" s="5" t="s">
        <v>1007</v>
      </c>
      <c r="G150" s="5" t="s">
        <v>1008</v>
      </c>
      <c r="H150" s="5" t="s">
        <v>1009</v>
      </c>
      <c r="I150" s="5" t="s">
        <v>424</v>
      </c>
      <c r="J150" s="5" t="s">
        <v>18</v>
      </c>
      <c r="K150" s="51"/>
      <c r="L150" s="52"/>
      <c r="M150" s="52"/>
      <c r="N150" s="92"/>
      <c r="O150" s="52"/>
      <c r="P150" s="52">
        <f t="shared" si="8"/>
        <v>0</v>
      </c>
      <c r="Q150" s="24">
        <v>166</v>
      </c>
      <c r="R150" s="5"/>
    </row>
    <row r="151" spans="1:18" ht="18.75" customHeight="1">
      <c r="A151" s="24"/>
      <c r="B151" s="115">
        <v>45710</v>
      </c>
      <c r="C151" s="5" t="str">
        <f t="shared" si="6"/>
        <v>Lyn Weetch</v>
      </c>
      <c r="D151" s="19" t="s">
        <v>557</v>
      </c>
      <c r="E151" s="19" t="s">
        <v>558</v>
      </c>
      <c r="F151" s="5"/>
      <c r="G151" s="5" t="s">
        <v>560</v>
      </c>
      <c r="H151" s="5" t="s">
        <v>561</v>
      </c>
      <c r="I151" s="5" t="s">
        <v>424</v>
      </c>
      <c r="J151" s="5" t="s">
        <v>18</v>
      </c>
      <c r="K151" s="51"/>
      <c r="L151" s="52"/>
      <c r="M151" s="52"/>
      <c r="N151" s="92"/>
      <c r="O151" s="52"/>
      <c r="P151" s="52">
        <f t="shared" si="8"/>
        <v>0</v>
      </c>
      <c r="Q151" s="24">
        <v>31</v>
      </c>
      <c r="R151" s="5"/>
    </row>
    <row r="152" spans="1:18" ht="18.75" customHeight="1">
      <c r="A152" s="24"/>
      <c r="B152" s="115">
        <v>45763</v>
      </c>
      <c r="C152" s="5" t="str">
        <f t="shared" si="6"/>
        <v>Lyn Blake</v>
      </c>
      <c r="D152" s="19" t="s">
        <v>557</v>
      </c>
      <c r="E152" s="19" t="s">
        <v>648</v>
      </c>
      <c r="F152" s="5" t="s">
        <v>423</v>
      </c>
      <c r="G152" s="5" t="s">
        <v>583</v>
      </c>
      <c r="H152" s="5" t="s">
        <v>649</v>
      </c>
      <c r="I152" s="5" t="s">
        <v>424</v>
      </c>
      <c r="J152" s="5" t="s">
        <v>18</v>
      </c>
      <c r="K152" s="51"/>
      <c r="L152" s="52"/>
      <c r="M152" s="52"/>
      <c r="N152" s="92"/>
      <c r="O152" s="52"/>
      <c r="P152" s="52">
        <f t="shared" si="8"/>
        <v>0</v>
      </c>
      <c r="Q152" s="24">
        <v>57</v>
      </c>
      <c r="R152" s="5"/>
    </row>
    <row r="153" spans="1:18" ht="18.75" customHeight="1">
      <c r="A153" s="24"/>
      <c r="B153" s="115">
        <v>45780</v>
      </c>
      <c r="C153" s="5" t="str">
        <f t="shared" si="6"/>
        <v>Lynette Walker</v>
      </c>
      <c r="D153" s="5" t="s">
        <v>803</v>
      </c>
      <c r="E153" s="5" t="s">
        <v>793</v>
      </c>
      <c r="F153" s="5" t="s">
        <v>804</v>
      </c>
      <c r="G153" s="5" t="s">
        <v>805</v>
      </c>
      <c r="H153" s="5" t="s">
        <v>806</v>
      </c>
      <c r="I153" s="5" t="s">
        <v>424</v>
      </c>
      <c r="J153" s="5" t="s">
        <v>769</v>
      </c>
      <c r="K153" s="51"/>
      <c r="L153" s="52"/>
      <c r="M153" s="52"/>
      <c r="N153" s="92"/>
      <c r="O153" s="52"/>
      <c r="P153" s="52">
        <f t="shared" si="8"/>
        <v>0</v>
      </c>
      <c r="Q153" s="24">
        <v>108</v>
      </c>
      <c r="R153" s="5"/>
    </row>
    <row r="154" spans="1:18" ht="18.75" customHeight="1">
      <c r="A154" s="24"/>
      <c r="B154" s="115">
        <v>45783</v>
      </c>
      <c r="C154" s="5" t="str">
        <f t="shared" si="6"/>
        <v>Maggie Glancy</v>
      </c>
      <c r="D154" s="5" t="s">
        <v>858</v>
      </c>
      <c r="E154" s="5" t="s">
        <v>859</v>
      </c>
      <c r="F154" s="5" t="s">
        <v>860</v>
      </c>
      <c r="G154" s="5" t="s">
        <v>861</v>
      </c>
      <c r="H154" s="5" t="s">
        <v>862</v>
      </c>
      <c r="I154" s="5" t="s">
        <v>424</v>
      </c>
      <c r="J154" s="5" t="s">
        <v>16</v>
      </c>
      <c r="K154" s="51">
        <v>45987</v>
      </c>
      <c r="L154" s="52">
        <v>5</v>
      </c>
      <c r="M154" s="52"/>
      <c r="N154" s="92"/>
      <c r="O154" s="52"/>
      <c r="P154" s="52">
        <f t="shared" si="8"/>
        <v>5</v>
      </c>
      <c r="Q154" s="24">
        <v>124</v>
      </c>
      <c r="R154" s="25" t="s">
        <v>602</v>
      </c>
    </row>
    <row r="155" spans="1:18" ht="18.75" customHeight="1">
      <c r="A155" s="24"/>
      <c r="B155" s="115">
        <v>45822</v>
      </c>
      <c r="C155" s="5" t="str">
        <f t="shared" si="6"/>
        <v>Margaret Loydell</v>
      </c>
      <c r="D155" s="19" t="s">
        <v>421</v>
      </c>
      <c r="E155" s="19" t="s">
        <v>989</v>
      </c>
      <c r="F155" s="5" t="s">
        <v>654</v>
      </c>
      <c r="G155" s="5" t="s">
        <v>990</v>
      </c>
      <c r="H155" s="5" t="s">
        <v>1010</v>
      </c>
      <c r="I155" s="5" t="s">
        <v>424</v>
      </c>
      <c r="J155" s="5" t="s">
        <v>18</v>
      </c>
      <c r="K155" s="51"/>
      <c r="L155" s="52"/>
      <c r="M155" s="52"/>
      <c r="N155" s="92"/>
      <c r="O155" s="52"/>
      <c r="P155" s="52">
        <f t="shared" si="8"/>
        <v>0</v>
      </c>
      <c r="Q155" s="24">
        <v>167</v>
      </c>
      <c r="R155" s="5"/>
    </row>
    <row r="156" spans="1:18" ht="18.75" customHeight="1">
      <c r="A156" s="24"/>
      <c r="B156" s="115">
        <v>45927</v>
      </c>
      <c r="C156" s="5" t="str">
        <f t="shared" si="6"/>
        <v>Margaret Robinson</v>
      </c>
      <c r="D156" s="5" t="s">
        <v>421</v>
      </c>
      <c r="E156" s="19" t="s">
        <v>422</v>
      </c>
      <c r="F156" s="5" t="s">
        <v>423</v>
      </c>
      <c r="G156" s="5"/>
      <c r="H156" s="5" t="s">
        <v>1167</v>
      </c>
      <c r="I156" s="5" t="s">
        <v>424</v>
      </c>
      <c r="J156" s="5" t="s">
        <v>14</v>
      </c>
      <c r="K156" s="51"/>
      <c r="L156" s="52"/>
      <c r="M156" s="52"/>
      <c r="N156" s="92"/>
      <c r="O156" s="52"/>
      <c r="P156" s="52">
        <f t="shared" si="8"/>
        <v>0</v>
      </c>
      <c r="Q156" s="24">
        <v>219</v>
      </c>
      <c r="R156" s="5"/>
    </row>
    <row r="157" spans="1:18" ht="18.75" customHeight="1">
      <c r="A157" s="24"/>
      <c r="B157" s="115">
        <v>45822</v>
      </c>
      <c r="C157" s="5" t="str">
        <f t="shared" si="6"/>
        <v>Margery Hopkins</v>
      </c>
      <c r="D157" s="5" t="s">
        <v>1012</v>
      </c>
      <c r="E157" s="5" t="s">
        <v>1013</v>
      </c>
      <c r="F157" s="5" t="s">
        <v>1014</v>
      </c>
      <c r="G157" s="5" t="s">
        <v>801</v>
      </c>
      <c r="H157" s="5" t="s">
        <v>1015</v>
      </c>
      <c r="I157" s="5" t="s">
        <v>424</v>
      </c>
      <c r="J157" s="5" t="s">
        <v>18</v>
      </c>
      <c r="K157" s="51"/>
      <c r="L157" s="52"/>
      <c r="M157" s="52"/>
      <c r="N157" s="92"/>
      <c r="O157" s="52"/>
      <c r="P157" s="52">
        <f t="shared" si="8"/>
        <v>0</v>
      </c>
      <c r="Q157" s="24">
        <v>168</v>
      </c>
      <c r="R157" s="5"/>
    </row>
    <row r="158" spans="1:18" ht="18.75" customHeight="1">
      <c r="A158" s="24"/>
      <c r="B158" s="115">
        <v>45780</v>
      </c>
      <c r="C158" s="5" t="str">
        <f t="shared" si="6"/>
        <v>Maria Ferreira</v>
      </c>
      <c r="D158" s="5" t="s">
        <v>807</v>
      </c>
      <c r="E158" s="5" t="s">
        <v>808</v>
      </c>
      <c r="F158" s="5" t="s">
        <v>637</v>
      </c>
      <c r="G158" s="5" t="s">
        <v>775</v>
      </c>
      <c r="H158" s="5" t="s">
        <v>809</v>
      </c>
      <c r="I158" s="5" t="s">
        <v>424</v>
      </c>
      <c r="J158" s="5" t="s">
        <v>769</v>
      </c>
      <c r="K158" s="51"/>
      <c r="L158" s="52"/>
      <c r="M158" s="52"/>
      <c r="N158" s="92"/>
      <c r="O158" s="52"/>
      <c r="P158" s="52">
        <f t="shared" si="8"/>
        <v>0</v>
      </c>
      <c r="Q158" s="24">
        <v>109</v>
      </c>
      <c r="R158" s="5"/>
    </row>
    <row r="159" spans="1:18" ht="18.75" customHeight="1">
      <c r="A159" s="24"/>
      <c r="B159" s="115">
        <v>45907</v>
      </c>
      <c r="C159" s="5" t="str">
        <f t="shared" si="6"/>
        <v>Maria Loveridge</v>
      </c>
      <c r="D159" s="19" t="s">
        <v>807</v>
      </c>
      <c r="E159" s="19" t="s">
        <v>1091</v>
      </c>
      <c r="F159" s="5" t="s">
        <v>1092</v>
      </c>
      <c r="G159" s="5" t="s">
        <v>1093</v>
      </c>
      <c r="H159" s="5" t="s">
        <v>1094</v>
      </c>
      <c r="I159" s="5" t="s">
        <v>424</v>
      </c>
      <c r="J159" s="5" t="s">
        <v>18</v>
      </c>
      <c r="K159" s="51"/>
      <c r="L159" s="52"/>
      <c r="M159" s="52"/>
      <c r="N159" s="92"/>
      <c r="O159" s="52"/>
      <c r="P159" s="52">
        <f t="shared" si="8"/>
        <v>0</v>
      </c>
      <c r="Q159" s="24">
        <v>191</v>
      </c>
      <c r="R159" s="5"/>
    </row>
    <row r="160" spans="1:18" ht="18.75" customHeight="1">
      <c r="A160" s="24"/>
      <c r="B160" s="115">
        <v>45790</v>
      </c>
      <c r="C160" s="5" t="str">
        <f t="shared" si="6"/>
        <v>Marian Nicholas</v>
      </c>
      <c r="D160" s="5" t="s">
        <v>878</v>
      </c>
      <c r="E160" s="5" t="s">
        <v>879</v>
      </c>
      <c r="F160" s="5" t="s">
        <v>423</v>
      </c>
      <c r="G160" s="5" t="s">
        <v>583</v>
      </c>
      <c r="H160" s="5" t="s">
        <v>880</v>
      </c>
      <c r="I160" s="5" t="s">
        <v>424</v>
      </c>
      <c r="J160" s="5" t="s">
        <v>769</v>
      </c>
      <c r="K160" s="51"/>
      <c r="L160" s="52"/>
      <c r="M160" s="52"/>
      <c r="N160" s="92"/>
      <c r="O160" s="52"/>
      <c r="P160" s="52">
        <f t="shared" si="8"/>
        <v>0</v>
      </c>
      <c r="Q160" s="24">
        <v>128</v>
      </c>
      <c r="R160" s="5"/>
    </row>
    <row r="161" spans="1:18" ht="18.75" customHeight="1">
      <c r="A161" s="24"/>
      <c r="B161" s="115">
        <v>45710</v>
      </c>
      <c r="C161" s="5" t="str">
        <f t="shared" si="6"/>
        <v>Marilyn Castle</v>
      </c>
      <c r="D161" s="19" t="s">
        <v>562</v>
      </c>
      <c r="E161" s="19" t="s">
        <v>563</v>
      </c>
      <c r="F161" s="5"/>
      <c r="G161" s="5" t="s">
        <v>564</v>
      </c>
      <c r="H161" s="5" t="s">
        <v>565</v>
      </c>
      <c r="I161" s="5" t="s">
        <v>424</v>
      </c>
      <c r="J161" s="5" t="s">
        <v>18</v>
      </c>
      <c r="K161" s="51"/>
      <c r="L161" s="52"/>
      <c r="M161" s="52"/>
      <c r="N161" s="92"/>
      <c r="O161" s="52"/>
      <c r="P161" s="52">
        <f t="shared" si="8"/>
        <v>0</v>
      </c>
      <c r="Q161" s="24">
        <v>32</v>
      </c>
      <c r="R161" s="5"/>
    </row>
    <row r="162" spans="1:18" s="8" customFormat="1" ht="18.75" customHeight="1">
      <c r="A162" s="24"/>
      <c r="B162" s="115">
        <v>45822</v>
      </c>
      <c r="C162" s="5" t="str">
        <f t="shared" si="6"/>
        <v>Marilyn Bachmann</v>
      </c>
      <c r="D162" s="19" t="s">
        <v>562</v>
      </c>
      <c r="E162" s="19" t="s">
        <v>949</v>
      </c>
      <c r="F162" s="5" t="s">
        <v>1467</v>
      </c>
      <c r="G162" s="5" t="s">
        <v>950</v>
      </c>
      <c r="H162" s="5" t="s">
        <v>1016</v>
      </c>
      <c r="I162" s="5" t="s">
        <v>424</v>
      </c>
      <c r="J162" s="5" t="s">
        <v>18</v>
      </c>
      <c r="K162" s="51"/>
      <c r="L162" s="52"/>
      <c r="M162" s="52"/>
      <c r="N162" s="92"/>
      <c r="O162" s="52"/>
      <c r="P162" s="52">
        <f t="shared" si="8"/>
        <v>0</v>
      </c>
      <c r="Q162" s="24">
        <v>169</v>
      </c>
      <c r="R162" s="5"/>
    </row>
    <row r="163" spans="1:18" ht="18.75" customHeight="1">
      <c r="A163" s="24"/>
      <c r="B163" s="115">
        <v>45771</v>
      </c>
      <c r="C163" s="5" t="str">
        <f t="shared" si="6"/>
        <v>Mark Kielty</v>
      </c>
      <c r="D163" s="5" t="s">
        <v>700</v>
      </c>
      <c r="E163" s="5" t="s">
        <v>434</v>
      </c>
      <c r="F163" s="5" t="s">
        <v>683</v>
      </c>
      <c r="G163" s="5" t="s">
        <v>684</v>
      </c>
      <c r="H163" s="5" t="s">
        <v>701</v>
      </c>
      <c r="I163" s="5" t="s">
        <v>424</v>
      </c>
      <c r="J163" s="5" t="s">
        <v>13</v>
      </c>
      <c r="K163" s="51">
        <v>45776</v>
      </c>
      <c r="L163" s="52">
        <v>5</v>
      </c>
      <c r="M163" s="52"/>
      <c r="N163" s="92">
        <v>-0.45</v>
      </c>
      <c r="O163" s="52"/>
      <c r="P163" s="52">
        <f t="shared" si="8"/>
        <v>4.55</v>
      </c>
      <c r="Q163" s="24">
        <v>74</v>
      </c>
      <c r="R163" s="5"/>
    </row>
    <row r="164" spans="1:18" ht="18.75" customHeight="1">
      <c r="A164" s="24"/>
      <c r="B164" s="115">
        <v>45915</v>
      </c>
      <c r="C164" s="5" t="str">
        <f t="shared" si="6"/>
        <v>Martin Matthews</v>
      </c>
      <c r="D164" s="5" t="s">
        <v>1110</v>
      </c>
      <c r="E164" s="5" t="s">
        <v>1002</v>
      </c>
      <c r="F164" s="5" t="s">
        <v>450</v>
      </c>
      <c r="G164" s="5" t="s">
        <v>1111</v>
      </c>
      <c r="H164" s="5" t="s">
        <v>1112</v>
      </c>
      <c r="I164" s="5" t="s">
        <v>424</v>
      </c>
      <c r="J164" s="5" t="s">
        <v>19</v>
      </c>
      <c r="K164" s="51">
        <v>45987</v>
      </c>
      <c r="L164" s="52"/>
      <c r="M164" s="52"/>
      <c r="N164" s="92"/>
      <c r="O164" s="52">
        <v>5</v>
      </c>
      <c r="P164" s="52">
        <f t="shared" si="8"/>
        <v>5</v>
      </c>
      <c r="Q164" s="24">
        <v>197</v>
      </c>
      <c r="R164" s="5"/>
    </row>
    <row r="165" spans="1:18" ht="18.75" customHeight="1">
      <c r="A165" s="24"/>
      <c r="B165" s="115">
        <v>45927</v>
      </c>
      <c r="C165" s="5" t="str">
        <f t="shared" si="6"/>
        <v>Martin Jackson</v>
      </c>
      <c r="D165" s="19" t="s">
        <v>1110</v>
      </c>
      <c r="E165" s="19" t="s">
        <v>1185</v>
      </c>
      <c r="F165" s="5" t="s">
        <v>142</v>
      </c>
      <c r="G165" s="5" t="s">
        <v>1186</v>
      </c>
      <c r="H165" s="5" t="s">
        <v>1187</v>
      </c>
      <c r="I165" s="5" t="s">
        <v>424</v>
      </c>
      <c r="J165" s="5" t="s">
        <v>19</v>
      </c>
      <c r="K165" s="51">
        <v>45927</v>
      </c>
      <c r="L165" s="52">
        <v>5</v>
      </c>
      <c r="M165" s="52"/>
      <c r="N165" s="92">
        <v>-0.45</v>
      </c>
      <c r="O165" s="52"/>
      <c r="P165" s="52">
        <f t="shared" si="8"/>
        <v>4.55</v>
      </c>
      <c r="Q165" s="24">
        <v>220</v>
      </c>
      <c r="R165" s="5"/>
    </row>
    <row r="166" spans="1:18" ht="18.75" customHeight="1">
      <c r="A166" s="24"/>
      <c r="B166" s="115">
        <v>45780</v>
      </c>
      <c r="C166" s="5" t="str">
        <f t="shared" si="6"/>
        <v>Mary Freeth</v>
      </c>
      <c r="D166" s="5" t="s">
        <v>810</v>
      </c>
      <c r="E166" s="5" t="s">
        <v>811</v>
      </c>
      <c r="F166" s="5" t="s">
        <v>1479</v>
      </c>
      <c r="G166" s="5" t="s">
        <v>813</v>
      </c>
      <c r="H166" s="5" t="s">
        <v>814</v>
      </c>
      <c r="I166" s="5" t="s">
        <v>424</v>
      </c>
      <c r="J166" s="5" t="s">
        <v>769</v>
      </c>
      <c r="K166" s="53"/>
      <c r="L166" s="52"/>
      <c r="M166" s="52"/>
      <c r="N166" s="92"/>
      <c r="O166" s="52"/>
      <c r="P166" s="52">
        <f t="shared" si="8"/>
        <v>0</v>
      </c>
      <c r="Q166" s="24">
        <v>110</v>
      </c>
      <c r="R166" s="5"/>
    </row>
    <row r="167" spans="1:18" ht="18.75" customHeight="1">
      <c r="A167" s="24"/>
      <c r="B167" s="115">
        <v>45791</v>
      </c>
      <c r="C167" s="5" t="str">
        <f t="shared" si="6"/>
        <v>Mary Sansom</v>
      </c>
      <c r="D167" s="5" t="s">
        <v>810</v>
      </c>
      <c r="E167" s="5" t="s">
        <v>887</v>
      </c>
      <c r="F167" s="5"/>
      <c r="G167" s="5"/>
      <c r="H167" s="99" t="s">
        <v>180</v>
      </c>
      <c r="I167" s="5" t="s">
        <v>424</v>
      </c>
      <c r="J167" s="5" t="s">
        <v>640</v>
      </c>
      <c r="K167" s="51">
        <v>45826</v>
      </c>
      <c r="L167" s="52">
        <v>10</v>
      </c>
      <c r="M167" s="52"/>
      <c r="N167" s="92">
        <v>-0.9</v>
      </c>
      <c r="O167" s="52"/>
      <c r="P167" s="52">
        <f t="shared" ref="P167:P198" si="9">L167+M167+N167+O167</f>
        <v>9.1</v>
      </c>
      <c r="Q167" s="24">
        <v>130</v>
      </c>
      <c r="R167" s="100" t="s">
        <v>889</v>
      </c>
    </row>
    <row r="168" spans="1:18" ht="18.75" customHeight="1">
      <c r="A168" s="24"/>
      <c r="B168" s="115">
        <v>45710</v>
      </c>
      <c r="C168" s="5" t="str">
        <f t="shared" si="6"/>
        <v>Megan Purser</v>
      </c>
      <c r="D168" s="19" t="s">
        <v>566</v>
      </c>
      <c r="E168" s="19" t="s">
        <v>545</v>
      </c>
      <c r="F168" s="5" t="s">
        <v>546</v>
      </c>
      <c r="G168" s="5" t="s">
        <v>547</v>
      </c>
      <c r="H168" s="5" t="s">
        <v>567</v>
      </c>
      <c r="I168" s="5" t="s">
        <v>424</v>
      </c>
      <c r="J168" s="5" t="s">
        <v>18</v>
      </c>
      <c r="K168" s="51">
        <v>45891</v>
      </c>
      <c r="L168" s="52">
        <v>5</v>
      </c>
      <c r="M168" s="52"/>
      <c r="N168" s="92">
        <v>-0.45</v>
      </c>
      <c r="O168" s="52"/>
      <c r="P168" s="52">
        <f t="shared" si="9"/>
        <v>4.55</v>
      </c>
      <c r="Q168" s="24">
        <v>33</v>
      </c>
      <c r="R168" s="5"/>
    </row>
    <row r="169" spans="1:18" ht="18.75" customHeight="1">
      <c r="A169" s="24"/>
      <c r="B169" s="115">
        <v>45766</v>
      </c>
      <c r="C169" s="5" t="str">
        <f t="shared" si="6"/>
        <v>Melanie Hughes</v>
      </c>
      <c r="D169" s="5" t="s">
        <v>678</v>
      </c>
      <c r="E169" s="5" t="s">
        <v>679</v>
      </c>
      <c r="F169" s="5"/>
      <c r="G169" s="5"/>
      <c r="H169" s="5" t="s">
        <v>221</v>
      </c>
      <c r="I169" s="5" t="s">
        <v>424</v>
      </c>
      <c r="J169" s="5" t="s">
        <v>620</v>
      </c>
      <c r="K169" s="51">
        <v>45985</v>
      </c>
      <c r="L169" s="52">
        <v>5</v>
      </c>
      <c r="M169" s="52"/>
      <c r="N169" s="92">
        <v>-0.45</v>
      </c>
      <c r="O169" s="52"/>
      <c r="P169" s="52">
        <f t="shared" si="9"/>
        <v>4.55</v>
      </c>
      <c r="Q169" s="24">
        <v>67</v>
      </c>
      <c r="R169" s="5"/>
    </row>
    <row r="170" spans="1:18" s="8" customFormat="1" ht="18.75" customHeight="1">
      <c r="A170" s="24"/>
      <c r="B170" s="115">
        <v>45778</v>
      </c>
      <c r="C170" s="5" t="str">
        <f t="shared" si="6"/>
        <v>Michael Ashdown</v>
      </c>
      <c r="D170" s="5" t="s">
        <v>753</v>
      </c>
      <c r="E170" s="5" t="s">
        <v>754</v>
      </c>
      <c r="F170" s="5"/>
      <c r="G170" s="5"/>
      <c r="H170" s="5" t="s">
        <v>755</v>
      </c>
      <c r="I170" s="5" t="s">
        <v>424</v>
      </c>
      <c r="J170" s="5" t="s">
        <v>18</v>
      </c>
      <c r="K170" s="51">
        <v>45780</v>
      </c>
      <c r="L170" s="52">
        <v>5</v>
      </c>
      <c r="M170" s="52"/>
      <c r="N170" s="92">
        <v>-0.45</v>
      </c>
      <c r="O170" s="52"/>
      <c r="P170" s="52">
        <f t="shared" si="9"/>
        <v>4.55</v>
      </c>
      <c r="Q170" s="24">
        <v>92</v>
      </c>
      <c r="R170" s="5"/>
    </row>
    <row r="171" spans="1:18" ht="18.75" customHeight="1">
      <c r="A171" s="24"/>
      <c r="B171" s="115">
        <v>45838</v>
      </c>
      <c r="C171" s="5" t="str">
        <f t="shared" si="6"/>
        <v>Michael Imperato</v>
      </c>
      <c r="D171" s="28" t="s">
        <v>753</v>
      </c>
      <c r="E171" s="5" t="s">
        <v>1034</v>
      </c>
      <c r="F171" s="5"/>
      <c r="G171" s="20"/>
      <c r="H171" s="5" t="s">
        <v>1035</v>
      </c>
      <c r="I171" s="5" t="s">
        <v>424</v>
      </c>
      <c r="J171" s="5" t="s">
        <v>17</v>
      </c>
      <c r="K171" s="51">
        <v>45838</v>
      </c>
      <c r="L171" s="52">
        <v>5</v>
      </c>
      <c r="M171" s="52"/>
      <c r="N171" s="92">
        <v>-0.45</v>
      </c>
      <c r="O171" s="52"/>
      <c r="P171" s="52">
        <f t="shared" si="9"/>
        <v>4.55</v>
      </c>
      <c r="Q171" s="24">
        <v>177</v>
      </c>
      <c r="R171" s="5"/>
    </row>
    <row r="172" spans="1:18" ht="18.75" customHeight="1">
      <c r="A172" s="24"/>
      <c r="B172" s="115">
        <v>45909</v>
      </c>
      <c r="C172" s="5" t="str">
        <f t="shared" si="6"/>
        <v>Michael Keegan</v>
      </c>
      <c r="D172" s="5" t="s">
        <v>753</v>
      </c>
      <c r="E172" s="5" t="s">
        <v>1104</v>
      </c>
      <c r="F172" s="5" t="s">
        <v>1105</v>
      </c>
      <c r="G172" s="5" t="s">
        <v>729</v>
      </c>
      <c r="H172" s="5" t="s">
        <v>273</v>
      </c>
      <c r="I172" s="5" t="s">
        <v>424</v>
      </c>
      <c r="J172" s="5" t="s">
        <v>19</v>
      </c>
      <c r="K172" s="51">
        <v>45909</v>
      </c>
      <c r="L172" s="52">
        <v>5</v>
      </c>
      <c r="M172" s="52"/>
      <c r="N172" s="92">
        <v>-0.45</v>
      </c>
      <c r="O172" s="52"/>
      <c r="P172" s="52">
        <f t="shared" si="9"/>
        <v>4.55</v>
      </c>
      <c r="Q172" s="24">
        <v>195</v>
      </c>
      <c r="R172" s="5"/>
    </row>
    <row r="173" spans="1:18" ht="18.75" customHeight="1">
      <c r="A173" s="24"/>
      <c r="B173" s="115">
        <v>45785</v>
      </c>
      <c r="C173" s="5" t="str">
        <f t="shared" si="6"/>
        <v>Michael &amp; Barbara Bagg</v>
      </c>
      <c r="D173" s="21" t="s">
        <v>868</v>
      </c>
      <c r="E173" s="5" t="s">
        <v>869</v>
      </c>
      <c r="F173" s="5" t="s">
        <v>870</v>
      </c>
      <c r="G173" s="5" t="s">
        <v>871</v>
      </c>
      <c r="H173" s="5" t="s">
        <v>872</v>
      </c>
      <c r="I173" s="5" t="s">
        <v>424</v>
      </c>
      <c r="J173" s="5" t="s">
        <v>769</v>
      </c>
      <c r="K173" s="51">
        <v>45785</v>
      </c>
      <c r="L173" s="52">
        <v>5</v>
      </c>
      <c r="M173" s="52"/>
      <c r="N173" s="92">
        <v>-0.45</v>
      </c>
      <c r="O173" s="52"/>
      <c r="P173" s="52">
        <f t="shared" si="9"/>
        <v>4.55</v>
      </c>
      <c r="Q173" s="24">
        <v>126</v>
      </c>
      <c r="R173" s="5"/>
    </row>
    <row r="174" spans="1:18" ht="18.75" customHeight="1">
      <c r="A174" s="24"/>
      <c r="B174" s="115">
        <v>45926</v>
      </c>
      <c r="C174" s="5" t="str">
        <f t="shared" si="6"/>
        <v>Mike Murphy</v>
      </c>
      <c r="D174" s="5" t="s">
        <v>1103</v>
      </c>
      <c r="E174" s="5" t="s">
        <v>1117</v>
      </c>
      <c r="F174" s="5"/>
      <c r="G174" s="5"/>
      <c r="H174" s="5" t="s">
        <v>1118</v>
      </c>
      <c r="I174" s="5" t="s">
        <v>424</v>
      </c>
      <c r="J174" s="5" t="s">
        <v>14</v>
      </c>
      <c r="K174" s="51"/>
      <c r="L174" s="52"/>
      <c r="M174" s="52"/>
      <c r="N174" s="92"/>
      <c r="O174" s="52"/>
      <c r="P174" s="52">
        <f t="shared" si="9"/>
        <v>0</v>
      </c>
      <c r="Q174" s="24">
        <v>199</v>
      </c>
      <c r="R174" s="5"/>
    </row>
    <row r="175" spans="1:18" s="8" customFormat="1" ht="18.75" customHeight="1">
      <c r="A175" s="24"/>
      <c r="B175" s="115">
        <v>45778</v>
      </c>
      <c r="C175" s="5" t="str">
        <f t="shared" si="6"/>
        <v>Nabila Ritchie</v>
      </c>
      <c r="D175" s="5" t="s">
        <v>756</v>
      </c>
      <c r="E175" s="5" t="s">
        <v>757</v>
      </c>
      <c r="F175" s="5"/>
      <c r="G175" s="5"/>
      <c r="H175" s="5" t="s">
        <v>229</v>
      </c>
      <c r="I175" s="5" t="s">
        <v>424</v>
      </c>
      <c r="J175" s="5" t="s">
        <v>16</v>
      </c>
      <c r="K175" s="51">
        <v>45985</v>
      </c>
      <c r="L175" s="52">
        <v>5</v>
      </c>
      <c r="M175" s="52"/>
      <c r="N175" s="92">
        <v>-0.45</v>
      </c>
      <c r="O175" s="52"/>
      <c r="P175" s="52">
        <f t="shared" si="9"/>
        <v>4.55</v>
      </c>
      <c r="Q175" s="24">
        <v>93</v>
      </c>
      <c r="R175" s="5"/>
    </row>
    <row r="176" spans="1:18" ht="18.75" customHeight="1">
      <c r="A176" s="24"/>
      <c r="B176" s="115">
        <v>45779</v>
      </c>
      <c r="C176" s="5" t="str">
        <f t="shared" si="6"/>
        <v>Natalie Rendell</v>
      </c>
      <c r="D176" s="5" t="s">
        <v>766</v>
      </c>
      <c r="E176" s="5" t="s">
        <v>767</v>
      </c>
      <c r="F176" s="5"/>
      <c r="G176" s="5"/>
      <c r="H176" s="5" t="s">
        <v>768</v>
      </c>
      <c r="I176" s="5" t="s">
        <v>424</v>
      </c>
      <c r="J176" s="5" t="s">
        <v>769</v>
      </c>
      <c r="K176" s="51"/>
      <c r="L176" s="52"/>
      <c r="M176" s="52"/>
      <c r="N176" s="92"/>
      <c r="O176" s="52"/>
      <c r="P176" s="52">
        <f t="shared" si="9"/>
        <v>0</v>
      </c>
      <c r="Q176" s="24">
        <v>97</v>
      </c>
      <c r="R176" s="5"/>
    </row>
    <row r="177" spans="1:18" ht="18.75" customHeight="1">
      <c r="A177" s="24"/>
      <c r="B177" s="115">
        <v>45779</v>
      </c>
      <c r="C177" s="5" t="str">
        <f t="shared" si="6"/>
        <v>Natalie Roberts</v>
      </c>
      <c r="D177" s="5" t="s">
        <v>766</v>
      </c>
      <c r="E177" s="5" t="s">
        <v>771</v>
      </c>
      <c r="F177" s="5" t="s">
        <v>1480</v>
      </c>
      <c r="G177" s="20"/>
      <c r="H177" s="5" t="s">
        <v>772</v>
      </c>
      <c r="I177" s="5" t="s">
        <v>424</v>
      </c>
      <c r="J177" s="5" t="s">
        <v>17</v>
      </c>
      <c r="K177" s="51">
        <v>45779</v>
      </c>
      <c r="L177" s="52">
        <v>5</v>
      </c>
      <c r="M177" s="52"/>
      <c r="N177" s="92">
        <v>-0.45</v>
      </c>
      <c r="O177" s="52"/>
      <c r="P177" s="52">
        <f t="shared" si="9"/>
        <v>4.55</v>
      </c>
      <c r="Q177" s="24">
        <v>98</v>
      </c>
      <c r="R177" s="5"/>
    </row>
    <row r="178" spans="1:18" ht="18.75" customHeight="1">
      <c r="A178" s="24"/>
      <c r="B178" s="115">
        <v>45766</v>
      </c>
      <c r="C178" s="5" t="str">
        <f t="shared" si="6"/>
        <v>Natasha T</v>
      </c>
      <c r="D178" s="5" t="s">
        <v>680</v>
      </c>
      <c r="E178" s="5" t="s">
        <v>681</v>
      </c>
      <c r="F178" s="5"/>
      <c r="G178" s="5"/>
      <c r="H178" s="5" t="s">
        <v>682</v>
      </c>
      <c r="I178" s="5" t="s">
        <v>424</v>
      </c>
      <c r="J178" s="5" t="s">
        <v>640</v>
      </c>
      <c r="K178" s="51"/>
      <c r="L178" s="52"/>
      <c r="M178" s="52"/>
      <c r="N178" s="92"/>
      <c r="O178" s="52"/>
      <c r="P178" s="52">
        <f t="shared" si="9"/>
        <v>0</v>
      </c>
      <c r="Q178" s="24">
        <v>68</v>
      </c>
      <c r="R178" s="5"/>
    </row>
    <row r="179" spans="1:18" ht="18.75" customHeight="1">
      <c r="A179" s="24"/>
      <c r="B179" s="115">
        <v>45777</v>
      </c>
      <c r="C179" s="5" t="str">
        <f t="shared" si="6"/>
        <v>Neeraj Wadhwa</v>
      </c>
      <c r="D179" s="5" t="s">
        <v>731</v>
      </c>
      <c r="E179" s="5" t="s">
        <v>732</v>
      </c>
      <c r="F179" s="5"/>
      <c r="G179" s="5"/>
      <c r="H179" s="5" t="s">
        <v>733</v>
      </c>
      <c r="I179" s="5" t="s">
        <v>424</v>
      </c>
      <c r="J179" s="5" t="s">
        <v>18</v>
      </c>
      <c r="K179" s="51"/>
      <c r="L179" s="52"/>
      <c r="M179" s="52"/>
      <c r="N179" s="92"/>
      <c r="O179" s="52"/>
      <c r="P179" s="52">
        <f t="shared" si="9"/>
        <v>0</v>
      </c>
      <c r="Q179" s="24">
        <v>85</v>
      </c>
      <c r="R179" s="5"/>
    </row>
    <row r="180" spans="1:18" s="16" customFormat="1" ht="18.75" customHeight="1">
      <c r="A180" s="24"/>
      <c r="B180" s="115">
        <v>45780</v>
      </c>
      <c r="C180" s="5" t="str">
        <f t="shared" si="6"/>
        <v>Nicola Streeter</v>
      </c>
      <c r="D180" s="5" t="s">
        <v>815</v>
      </c>
      <c r="E180" s="5" t="s">
        <v>816</v>
      </c>
      <c r="F180" s="5" t="s">
        <v>817</v>
      </c>
      <c r="G180" s="5" t="s">
        <v>213</v>
      </c>
      <c r="H180" s="5" t="s">
        <v>209</v>
      </c>
      <c r="I180" s="5" t="s">
        <v>424</v>
      </c>
      <c r="J180" s="5" t="s">
        <v>769</v>
      </c>
      <c r="K180" s="51">
        <v>45985</v>
      </c>
      <c r="L180" s="52">
        <v>5</v>
      </c>
      <c r="M180" s="52"/>
      <c r="N180" s="92">
        <v>-0.45</v>
      </c>
      <c r="O180" s="52"/>
      <c r="P180" s="52">
        <f t="shared" si="9"/>
        <v>4.55</v>
      </c>
      <c r="Q180" s="24">
        <v>111</v>
      </c>
      <c r="R180" s="5"/>
    </row>
    <row r="181" spans="1:18" ht="18.75" customHeight="1">
      <c r="A181" s="24"/>
      <c r="B181" s="114">
        <v>45747</v>
      </c>
      <c r="C181" s="25" t="str">
        <f t="shared" si="6"/>
        <v>Nik Urquhart</v>
      </c>
      <c r="D181" s="25" t="s">
        <v>641</v>
      </c>
      <c r="E181" s="25" t="s">
        <v>642</v>
      </c>
      <c r="F181" s="25"/>
      <c r="G181" s="25"/>
      <c r="H181" s="25" t="s">
        <v>644</v>
      </c>
      <c r="I181" s="25" t="s">
        <v>424</v>
      </c>
      <c r="J181" s="25" t="s">
        <v>9</v>
      </c>
      <c r="K181" s="53">
        <v>45791</v>
      </c>
      <c r="L181" s="54">
        <v>5</v>
      </c>
      <c r="M181" s="54"/>
      <c r="N181" s="92">
        <v>-0.45</v>
      </c>
      <c r="O181" s="52"/>
      <c r="P181" s="52">
        <f t="shared" si="9"/>
        <v>4.55</v>
      </c>
      <c r="Q181" s="24">
        <v>54</v>
      </c>
      <c r="R181" s="25" t="s">
        <v>443</v>
      </c>
    </row>
    <row r="182" spans="1:18" ht="18.75" customHeight="1">
      <c r="A182" s="24"/>
      <c r="B182" s="115">
        <v>45931</v>
      </c>
      <c r="C182" s="5" t="str">
        <f t="shared" si="6"/>
        <v>Nikki Massey</v>
      </c>
      <c r="D182" s="5" t="s">
        <v>1247</v>
      </c>
      <c r="E182" s="5" t="s">
        <v>1248</v>
      </c>
      <c r="F182" s="5" t="s">
        <v>1249</v>
      </c>
      <c r="G182" s="5" t="s">
        <v>1250</v>
      </c>
      <c r="H182" s="5" t="s">
        <v>1251</v>
      </c>
      <c r="I182" s="5" t="s">
        <v>424</v>
      </c>
      <c r="J182" s="5" t="s">
        <v>867</v>
      </c>
      <c r="K182" s="51"/>
      <c r="L182" s="52"/>
      <c r="M182" s="52"/>
      <c r="N182" s="92"/>
      <c r="O182" s="52"/>
      <c r="P182" s="52">
        <f t="shared" si="9"/>
        <v>0</v>
      </c>
      <c r="Q182" s="24">
        <v>237</v>
      </c>
      <c r="R182" s="5"/>
    </row>
    <row r="183" spans="1:18" ht="18.75" customHeight="1">
      <c r="A183" s="24"/>
      <c r="B183" s="115">
        <v>45780</v>
      </c>
      <c r="C183" s="5" t="str">
        <f t="shared" si="6"/>
        <v>Niru Regmi</v>
      </c>
      <c r="D183" s="5" t="s">
        <v>818</v>
      </c>
      <c r="E183" s="5" t="s">
        <v>819</v>
      </c>
      <c r="F183" s="5" t="s">
        <v>637</v>
      </c>
      <c r="G183" s="5" t="s">
        <v>820</v>
      </c>
      <c r="H183" s="5" t="s">
        <v>821</v>
      </c>
      <c r="I183" s="5" t="s">
        <v>424</v>
      </c>
      <c r="J183" s="5" t="s">
        <v>769</v>
      </c>
      <c r="K183" s="51"/>
      <c r="L183" s="52"/>
      <c r="M183" s="52"/>
      <c r="N183" s="92"/>
      <c r="O183" s="52"/>
      <c r="P183" s="52">
        <f t="shared" si="9"/>
        <v>0</v>
      </c>
      <c r="Q183" s="24">
        <v>112</v>
      </c>
      <c r="R183" s="5"/>
    </row>
    <row r="184" spans="1:18" ht="18.75" customHeight="1">
      <c r="A184" s="24"/>
      <c r="B184" s="115">
        <v>45710</v>
      </c>
      <c r="C184" s="5" t="str">
        <f t="shared" si="6"/>
        <v>Pam Brazier</v>
      </c>
      <c r="D184" s="19" t="s">
        <v>568</v>
      </c>
      <c r="E184" s="19" t="s">
        <v>569</v>
      </c>
      <c r="F184" s="5"/>
      <c r="G184" s="5" t="s">
        <v>570</v>
      </c>
      <c r="H184" s="5" t="s">
        <v>571</v>
      </c>
      <c r="I184" s="5" t="s">
        <v>424</v>
      </c>
      <c r="J184" s="5" t="s">
        <v>18</v>
      </c>
      <c r="K184" s="51"/>
      <c r="L184" s="52"/>
      <c r="M184" s="52"/>
      <c r="N184" s="92"/>
      <c r="O184" s="52"/>
      <c r="P184" s="52">
        <f t="shared" si="9"/>
        <v>0</v>
      </c>
      <c r="Q184" s="24">
        <v>34</v>
      </c>
      <c r="R184" s="5"/>
    </row>
    <row r="185" spans="1:18" ht="18.75" customHeight="1">
      <c r="A185" s="24"/>
      <c r="B185" s="115">
        <v>45778</v>
      </c>
      <c r="C185" s="5" t="str">
        <f t="shared" si="6"/>
        <v>Pamela Hancock</v>
      </c>
      <c r="D185" s="5" t="s">
        <v>758</v>
      </c>
      <c r="E185" s="5" t="s">
        <v>759</v>
      </c>
      <c r="F185" s="5"/>
      <c r="G185" s="5"/>
      <c r="H185" s="5" t="s">
        <v>760</v>
      </c>
      <c r="I185" s="5" t="s">
        <v>424</v>
      </c>
      <c r="J185" s="5" t="s">
        <v>16</v>
      </c>
      <c r="K185" s="51">
        <v>45859</v>
      </c>
      <c r="L185" s="52">
        <v>5</v>
      </c>
      <c r="M185" s="52"/>
      <c r="N185" s="92">
        <v>-0.45</v>
      </c>
      <c r="O185" s="52"/>
      <c r="P185" s="52">
        <f t="shared" si="9"/>
        <v>4.55</v>
      </c>
      <c r="Q185" s="24">
        <v>94</v>
      </c>
      <c r="R185" s="5"/>
    </row>
    <row r="186" spans="1:18" ht="18.75" customHeight="1">
      <c r="A186" s="24"/>
      <c r="B186" s="115">
        <v>45931</v>
      </c>
      <c r="C186" s="5" t="str">
        <f t="shared" si="6"/>
        <v>Panagiota Mavrigiannaki</v>
      </c>
      <c r="D186" s="5" t="s">
        <v>1252</v>
      </c>
      <c r="E186" s="5" t="s">
        <v>1253</v>
      </c>
      <c r="F186" s="5" t="s">
        <v>1254</v>
      </c>
      <c r="G186" s="5" t="s">
        <v>271</v>
      </c>
      <c r="H186" s="5" t="s">
        <v>266</v>
      </c>
      <c r="I186" s="5" t="s">
        <v>424</v>
      </c>
      <c r="J186" s="5" t="s">
        <v>19</v>
      </c>
      <c r="K186" s="51">
        <v>45931</v>
      </c>
      <c r="L186" s="52">
        <v>5</v>
      </c>
      <c r="M186" s="52"/>
      <c r="N186" s="92">
        <v>-0.45</v>
      </c>
      <c r="O186" s="52"/>
      <c r="P186" s="52">
        <f t="shared" si="9"/>
        <v>4.55</v>
      </c>
      <c r="Q186" s="24">
        <v>238</v>
      </c>
      <c r="R186" s="5"/>
    </row>
    <row r="187" spans="1:18" ht="18.75" customHeight="1">
      <c r="A187" s="24"/>
      <c r="B187" s="115">
        <v>45905</v>
      </c>
      <c r="C187" s="5" t="str">
        <f t="shared" si="6"/>
        <v>Pardeep Jagpal</v>
      </c>
      <c r="D187" s="19" t="s">
        <v>1064</v>
      </c>
      <c r="E187" s="5" t="s">
        <v>1065</v>
      </c>
      <c r="F187" s="5" t="s">
        <v>1066</v>
      </c>
      <c r="G187" s="5" t="s">
        <v>1067</v>
      </c>
      <c r="H187" s="5" t="s">
        <v>1068</v>
      </c>
      <c r="I187" s="5" t="s">
        <v>424</v>
      </c>
      <c r="J187" s="5" t="s">
        <v>19</v>
      </c>
      <c r="K187" s="51">
        <v>45905</v>
      </c>
      <c r="L187" s="52">
        <v>5</v>
      </c>
      <c r="M187" s="52"/>
      <c r="N187" s="92">
        <v>-0.45</v>
      </c>
      <c r="O187" s="52"/>
      <c r="P187" s="52">
        <f t="shared" si="9"/>
        <v>4.55</v>
      </c>
      <c r="Q187" s="24">
        <v>185</v>
      </c>
      <c r="R187" s="5" t="s">
        <v>699</v>
      </c>
    </row>
    <row r="188" spans="1:18" s="8" customFormat="1" ht="18.75" customHeight="1">
      <c r="A188" s="24"/>
      <c r="B188" s="115">
        <v>45710</v>
      </c>
      <c r="C188" s="5" t="str">
        <f t="shared" si="6"/>
        <v>Patricia Kielty</v>
      </c>
      <c r="D188" s="19" t="s">
        <v>572</v>
      </c>
      <c r="E188" s="19" t="s">
        <v>434</v>
      </c>
      <c r="F188" s="5" t="s">
        <v>435</v>
      </c>
      <c r="G188" s="5" t="s">
        <v>130</v>
      </c>
      <c r="H188" s="5" t="s">
        <v>573</v>
      </c>
      <c r="I188" s="5" t="s">
        <v>424</v>
      </c>
      <c r="J188" s="5" t="s">
        <v>18</v>
      </c>
      <c r="K188" s="51"/>
      <c r="L188" s="52">
        <v>0</v>
      </c>
      <c r="M188" s="52"/>
      <c r="N188" s="92">
        <v>0</v>
      </c>
      <c r="O188" s="52"/>
      <c r="P188" s="52">
        <f t="shared" si="9"/>
        <v>0</v>
      </c>
      <c r="Q188" s="24">
        <v>35</v>
      </c>
      <c r="R188" s="5" t="s">
        <v>699</v>
      </c>
    </row>
    <row r="189" spans="1:18" ht="18.75" customHeight="1">
      <c r="A189" s="24"/>
      <c r="B189" s="115">
        <v>45710</v>
      </c>
      <c r="C189" s="5" t="str">
        <f t="shared" si="6"/>
        <v>Patricia Holmes</v>
      </c>
      <c r="D189" s="5" t="s">
        <v>572</v>
      </c>
      <c r="E189" s="5" t="s">
        <v>575</v>
      </c>
      <c r="F189" s="5"/>
      <c r="G189" s="5" t="s">
        <v>522</v>
      </c>
      <c r="H189" s="5" t="s">
        <v>576</v>
      </c>
      <c r="I189" s="5" t="s">
        <v>424</v>
      </c>
      <c r="J189" s="5" t="s">
        <v>18</v>
      </c>
      <c r="K189" s="51">
        <v>45831</v>
      </c>
      <c r="L189" s="52">
        <v>5</v>
      </c>
      <c r="M189" s="52"/>
      <c r="N189" s="92">
        <v>-0.45</v>
      </c>
      <c r="O189" s="52"/>
      <c r="P189" s="52">
        <f t="shared" si="9"/>
        <v>4.55</v>
      </c>
      <c r="Q189" s="24">
        <v>36</v>
      </c>
      <c r="R189" s="5"/>
    </row>
    <row r="190" spans="1:18" ht="18.75" customHeight="1">
      <c r="A190" s="24"/>
      <c r="B190" s="115">
        <v>45927</v>
      </c>
      <c r="C190" s="5" t="str">
        <f t="shared" si="6"/>
        <v>Patricia Anderson</v>
      </c>
      <c r="D190" s="5" t="s">
        <v>572</v>
      </c>
      <c r="E190" s="5" t="s">
        <v>1189</v>
      </c>
      <c r="F190" s="5" t="s">
        <v>1190</v>
      </c>
      <c r="G190" s="5" t="s">
        <v>1191</v>
      </c>
      <c r="H190" s="5" t="s">
        <v>1192</v>
      </c>
      <c r="I190" s="5" t="s">
        <v>424</v>
      </c>
      <c r="J190" s="5" t="s">
        <v>18</v>
      </c>
      <c r="K190" s="51"/>
      <c r="L190" s="52"/>
      <c r="M190" s="52"/>
      <c r="N190" s="92"/>
      <c r="O190" s="52"/>
      <c r="P190" s="52">
        <f t="shared" si="9"/>
        <v>0</v>
      </c>
      <c r="Q190" s="24">
        <v>221</v>
      </c>
      <c r="R190" s="5"/>
    </row>
    <row r="191" spans="1:18" ht="18.75" customHeight="1">
      <c r="A191" s="24"/>
      <c r="B191" s="115">
        <v>45771</v>
      </c>
      <c r="C191" s="5" t="str">
        <f t="shared" si="6"/>
        <v>Paul Benson</v>
      </c>
      <c r="D191" s="5" t="s">
        <v>705</v>
      </c>
      <c r="E191" s="5" t="s">
        <v>706</v>
      </c>
      <c r="F191" s="5"/>
      <c r="G191" s="5"/>
      <c r="H191" s="5" t="s">
        <v>707</v>
      </c>
      <c r="I191" s="5" t="s">
        <v>424</v>
      </c>
      <c r="J191" s="5" t="s">
        <v>640</v>
      </c>
      <c r="K191" s="51"/>
      <c r="L191" s="52"/>
      <c r="M191" s="52"/>
      <c r="N191" s="92"/>
      <c r="O191" s="52"/>
      <c r="P191" s="52">
        <f t="shared" si="9"/>
        <v>0</v>
      </c>
      <c r="Q191" s="24">
        <v>76</v>
      </c>
      <c r="R191" s="5"/>
    </row>
    <row r="192" spans="1:18" ht="18.75" customHeight="1">
      <c r="A192" s="24"/>
      <c r="B192" s="115">
        <v>45931</v>
      </c>
      <c r="C192" s="5" t="str">
        <f t="shared" si="6"/>
        <v>Paul Cousens</v>
      </c>
      <c r="D192" s="5" t="s">
        <v>705</v>
      </c>
      <c r="E192" s="5" t="s">
        <v>748</v>
      </c>
      <c r="F192" s="5" t="s">
        <v>1256</v>
      </c>
      <c r="G192" s="5" t="s">
        <v>219</v>
      </c>
      <c r="H192" s="5" t="s">
        <v>215</v>
      </c>
      <c r="I192" s="5" t="s">
        <v>424</v>
      </c>
      <c r="J192" s="5" t="s">
        <v>19</v>
      </c>
      <c r="K192" s="51">
        <v>45985</v>
      </c>
      <c r="L192" s="52">
        <v>5</v>
      </c>
      <c r="M192" s="52"/>
      <c r="N192" s="92">
        <v>-0.45</v>
      </c>
      <c r="O192" s="52"/>
      <c r="P192" s="52">
        <f t="shared" si="9"/>
        <v>4.55</v>
      </c>
      <c r="Q192" s="24">
        <v>239</v>
      </c>
      <c r="R192" s="5" t="s">
        <v>699</v>
      </c>
    </row>
    <row r="193" spans="1:18" ht="18.75" customHeight="1">
      <c r="A193" s="24"/>
      <c r="B193" s="115">
        <v>45780</v>
      </c>
      <c r="C193" s="5" t="str">
        <f t="shared" si="6"/>
        <v>Paul  Wise</v>
      </c>
      <c r="D193" s="5" t="s">
        <v>822</v>
      </c>
      <c r="E193" s="5" t="s">
        <v>823</v>
      </c>
      <c r="F193" s="5" t="s">
        <v>824</v>
      </c>
      <c r="G193" s="5" t="s">
        <v>163</v>
      </c>
      <c r="H193" s="5" t="s">
        <v>158</v>
      </c>
      <c r="I193" s="5" t="s">
        <v>424</v>
      </c>
      <c r="J193" s="5" t="s">
        <v>769</v>
      </c>
      <c r="K193" s="51"/>
      <c r="L193" s="52"/>
      <c r="M193" s="52"/>
      <c r="N193" s="92"/>
      <c r="O193" s="52"/>
      <c r="P193" s="52">
        <f t="shared" si="9"/>
        <v>0</v>
      </c>
      <c r="Q193" s="24">
        <v>113</v>
      </c>
      <c r="R193" s="5"/>
    </row>
    <row r="194" spans="1:18" ht="18.75" customHeight="1">
      <c r="A194" s="24"/>
      <c r="B194" s="115">
        <v>45927</v>
      </c>
      <c r="C194" s="5" t="str">
        <f t="shared" ref="C194:C256" si="10">CONCATENATE(D:D," ",E:E)</f>
        <v>Paula Wherlock</v>
      </c>
      <c r="D194" s="5" t="s">
        <v>1193</v>
      </c>
      <c r="E194" s="5" t="s">
        <v>598</v>
      </c>
      <c r="F194" s="5" t="s">
        <v>599</v>
      </c>
      <c r="G194" s="5" t="s">
        <v>600</v>
      </c>
      <c r="H194" s="5" t="s">
        <v>1194</v>
      </c>
      <c r="I194" s="5" t="s">
        <v>424</v>
      </c>
      <c r="J194" s="5" t="s">
        <v>18</v>
      </c>
      <c r="K194" s="51"/>
      <c r="L194" s="52"/>
      <c r="M194" s="52"/>
      <c r="N194" s="92"/>
      <c r="O194" s="52"/>
      <c r="P194" s="52">
        <f t="shared" si="9"/>
        <v>0</v>
      </c>
      <c r="Q194" s="24">
        <v>222</v>
      </c>
      <c r="R194" s="5"/>
    </row>
    <row r="195" spans="1:18" ht="18.75" customHeight="1">
      <c r="A195" s="24"/>
      <c r="B195" s="114">
        <v>45710</v>
      </c>
      <c r="C195" s="25" t="str">
        <f t="shared" si="10"/>
        <v>Penny Kielty</v>
      </c>
      <c r="D195" s="25" t="s">
        <v>433</v>
      </c>
      <c r="E195" s="25" t="s">
        <v>434</v>
      </c>
      <c r="F195" s="25" t="s">
        <v>435</v>
      </c>
      <c r="G195" s="25" t="s">
        <v>130</v>
      </c>
      <c r="H195" s="25" t="s">
        <v>4</v>
      </c>
      <c r="I195" s="25" t="s">
        <v>424</v>
      </c>
      <c r="J195" s="25" t="s">
        <v>9</v>
      </c>
      <c r="K195" s="53">
        <v>45776</v>
      </c>
      <c r="L195" s="54">
        <v>5</v>
      </c>
      <c r="M195" s="54"/>
      <c r="N195" s="92">
        <v>-0.45</v>
      </c>
      <c r="O195" s="52"/>
      <c r="P195" s="52">
        <f t="shared" si="9"/>
        <v>4.55</v>
      </c>
      <c r="Q195" s="24">
        <v>2</v>
      </c>
      <c r="R195" s="25" t="s">
        <v>438</v>
      </c>
    </row>
    <row r="196" spans="1:18" ht="18.75" customHeight="1">
      <c r="A196" s="24"/>
      <c r="B196" s="115">
        <v>45927</v>
      </c>
      <c r="C196" s="5" t="str">
        <f t="shared" si="10"/>
        <v>Pete Robins</v>
      </c>
      <c r="D196" s="5" t="s">
        <v>1196</v>
      </c>
      <c r="E196" s="5" t="s">
        <v>762</v>
      </c>
      <c r="F196" s="5" t="s">
        <v>1197</v>
      </c>
      <c r="G196" s="5" t="s">
        <v>1198</v>
      </c>
      <c r="H196" s="5" t="s">
        <v>1199</v>
      </c>
      <c r="I196" s="5" t="s">
        <v>424</v>
      </c>
      <c r="J196" s="5" t="s">
        <v>18</v>
      </c>
      <c r="K196" s="51"/>
      <c r="L196" s="52"/>
      <c r="M196" s="52"/>
      <c r="N196" s="92"/>
      <c r="O196" s="52"/>
      <c r="P196" s="52">
        <f t="shared" si="9"/>
        <v>0</v>
      </c>
      <c r="Q196" s="24">
        <v>223</v>
      </c>
      <c r="R196" s="5"/>
    </row>
    <row r="197" spans="1:18" ht="18.75" customHeight="1">
      <c r="A197" s="24"/>
      <c r="B197" s="115">
        <v>45710</v>
      </c>
      <c r="C197" s="5" t="str">
        <f t="shared" si="10"/>
        <v>Peter Davies</v>
      </c>
      <c r="D197" s="5" t="s">
        <v>577</v>
      </c>
      <c r="E197" s="5" t="s">
        <v>578</v>
      </c>
      <c r="F197" s="5"/>
      <c r="G197" s="5" t="s">
        <v>130</v>
      </c>
      <c r="H197" s="5" t="s">
        <v>579</v>
      </c>
      <c r="I197" s="5" t="s">
        <v>424</v>
      </c>
      <c r="J197" s="5" t="s">
        <v>18</v>
      </c>
      <c r="K197" s="51"/>
      <c r="L197" s="52"/>
      <c r="M197" s="52"/>
      <c r="N197" s="92"/>
      <c r="O197" s="52"/>
      <c r="P197" s="52">
        <f t="shared" si="9"/>
        <v>0</v>
      </c>
      <c r="Q197" s="24">
        <v>37</v>
      </c>
      <c r="R197" s="5" t="s">
        <v>580</v>
      </c>
    </row>
    <row r="198" spans="1:18" ht="18.75" customHeight="1">
      <c r="A198" s="24"/>
      <c r="B198" s="115">
        <v>45781</v>
      </c>
      <c r="C198" s="5" t="str">
        <f t="shared" si="10"/>
        <v>Peter &amp; Peter Greaves</v>
      </c>
      <c r="D198" s="5" t="s">
        <v>1481</v>
      </c>
      <c r="E198" s="5" t="s">
        <v>498</v>
      </c>
      <c r="F198" s="5"/>
      <c r="G198" s="5"/>
      <c r="H198" s="5" t="s">
        <v>844</v>
      </c>
      <c r="I198" s="5" t="s">
        <v>424</v>
      </c>
      <c r="J198" s="5" t="s">
        <v>769</v>
      </c>
      <c r="K198" s="51"/>
      <c r="L198" s="52"/>
      <c r="M198" s="52"/>
      <c r="N198" s="92"/>
      <c r="O198" s="52"/>
      <c r="P198" s="52">
        <f t="shared" si="9"/>
        <v>0</v>
      </c>
      <c r="Q198" s="24">
        <v>120</v>
      </c>
      <c r="R198" s="5"/>
    </row>
    <row r="199" spans="1:18" ht="18.75" customHeight="1">
      <c r="A199" s="24"/>
      <c r="B199" s="115">
        <v>45895</v>
      </c>
      <c r="C199" s="5" t="str">
        <f t="shared" si="10"/>
        <v>Petra Smillie</v>
      </c>
      <c r="D199" s="5" t="s">
        <v>1055</v>
      </c>
      <c r="E199" s="5" t="s">
        <v>1056</v>
      </c>
      <c r="F199" s="5" t="s">
        <v>423</v>
      </c>
      <c r="G199" s="5" t="s">
        <v>1057</v>
      </c>
      <c r="H199" s="5" t="s">
        <v>1058</v>
      </c>
      <c r="I199" s="5" t="s">
        <v>424</v>
      </c>
      <c r="J199" s="5" t="s">
        <v>19</v>
      </c>
      <c r="K199" s="51">
        <v>45895</v>
      </c>
      <c r="L199" s="52">
        <v>5</v>
      </c>
      <c r="M199" s="52"/>
      <c r="N199" s="92">
        <v>-0.45</v>
      </c>
      <c r="O199" s="52"/>
      <c r="P199" s="52">
        <f t="shared" ref="P199:P230" si="11">L199+M199+N199+O199</f>
        <v>4.55</v>
      </c>
      <c r="Q199" s="24">
        <v>183</v>
      </c>
      <c r="R199" s="5"/>
    </row>
    <row r="200" spans="1:18" ht="18.75" customHeight="1">
      <c r="A200" s="24"/>
      <c r="B200" s="115">
        <v>45710</v>
      </c>
      <c r="C200" s="5" t="str">
        <f t="shared" si="10"/>
        <v>Phil Henley</v>
      </c>
      <c r="D200" s="5" t="s">
        <v>581</v>
      </c>
      <c r="E200" s="5" t="s">
        <v>582</v>
      </c>
      <c r="F200" s="5"/>
      <c r="G200" s="5" t="s">
        <v>583</v>
      </c>
      <c r="H200" s="5" t="s">
        <v>310</v>
      </c>
      <c r="I200" s="5" t="s">
        <v>424</v>
      </c>
      <c r="J200" s="5" t="s">
        <v>18</v>
      </c>
      <c r="K200" s="51"/>
      <c r="L200" s="52"/>
      <c r="M200" s="52"/>
      <c r="N200" s="92"/>
      <c r="O200" s="52"/>
      <c r="P200" s="52">
        <f t="shared" si="11"/>
        <v>0</v>
      </c>
      <c r="Q200" s="24">
        <v>38</v>
      </c>
      <c r="R200" s="5"/>
    </row>
    <row r="201" spans="1:18" ht="18.75" customHeight="1">
      <c r="A201" s="24"/>
      <c r="B201" s="115">
        <v>45822</v>
      </c>
      <c r="C201" s="5" t="str">
        <f t="shared" si="10"/>
        <v>Phil  Sivelle</v>
      </c>
      <c r="D201" s="19" t="s">
        <v>1017</v>
      </c>
      <c r="E201" s="19" t="s">
        <v>975</v>
      </c>
      <c r="F201" s="5" t="s">
        <v>423</v>
      </c>
      <c r="G201" s="5" t="s">
        <v>583</v>
      </c>
      <c r="H201" s="5" t="s">
        <v>1018</v>
      </c>
      <c r="I201" s="5" t="s">
        <v>424</v>
      </c>
      <c r="J201" s="5" t="s">
        <v>18</v>
      </c>
      <c r="K201" s="51"/>
      <c r="L201" s="52"/>
      <c r="M201" s="52"/>
      <c r="N201" s="92"/>
      <c r="O201" s="52"/>
      <c r="P201" s="52">
        <f t="shared" si="11"/>
        <v>0</v>
      </c>
      <c r="Q201" s="24">
        <v>170</v>
      </c>
      <c r="R201" s="5"/>
    </row>
    <row r="202" spans="1:18" ht="18.75" customHeight="1">
      <c r="A202" s="24"/>
      <c r="B202" s="115">
        <v>45915</v>
      </c>
      <c r="C202" s="5" t="str">
        <f t="shared" si="10"/>
        <v>Philip Cambray</v>
      </c>
      <c r="D202" s="19" t="s">
        <v>1113</v>
      </c>
      <c r="E202" s="19" t="s">
        <v>1114</v>
      </c>
      <c r="F202" s="5" t="s">
        <v>702</v>
      </c>
      <c r="G202" s="5" t="s">
        <v>888</v>
      </c>
      <c r="H202" s="5" t="s">
        <v>1115</v>
      </c>
      <c r="I202" s="5" t="s">
        <v>424</v>
      </c>
      <c r="J202" s="5" t="s">
        <v>19</v>
      </c>
      <c r="K202" s="51">
        <v>45987</v>
      </c>
      <c r="L202" s="52">
        <v>5</v>
      </c>
      <c r="M202" s="52"/>
      <c r="N202" s="92"/>
      <c r="O202" s="52"/>
      <c r="P202" s="52">
        <f t="shared" si="11"/>
        <v>5</v>
      </c>
      <c r="Q202" s="24">
        <v>198</v>
      </c>
      <c r="R202" s="25" t="s">
        <v>1116</v>
      </c>
    </row>
    <row r="203" spans="1:18" ht="18.75" customHeight="1">
      <c r="A203" s="24"/>
      <c r="B203" s="114">
        <v>45710</v>
      </c>
      <c r="C203" s="25" t="str">
        <f t="shared" si="10"/>
        <v>Philomena Meddelton</v>
      </c>
      <c r="D203" s="25" t="s">
        <v>584</v>
      </c>
      <c r="E203" s="25" t="s">
        <v>585</v>
      </c>
      <c r="F203" s="25" t="s">
        <v>423</v>
      </c>
      <c r="G203" s="25" t="s">
        <v>178</v>
      </c>
      <c r="H203" s="25" t="s">
        <v>586</v>
      </c>
      <c r="I203" s="25" t="s">
        <v>424</v>
      </c>
      <c r="J203" s="25" t="s">
        <v>9</v>
      </c>
      <c r="K203" s="53">
        <v>45847</v>
      </c>
      <c r="L203" s="54">
        <v>5</v>
      </c>
      <c r="M203" s="54"/>
      <c r="N203" s="92">
        <v>-0.45</v>
      </c>
      <c r="O203" s="52"/>
      <c r="P203" s="52">
        <f t="shared" si="11"/>
        <v>4.55</v>
      </c>
      <c r="Q203" s="24">
        <v>39</v>
      </c>
      <c r="R203" s="25" t="s">
        <v>443</v>
      </c>
    </row>
    <row r="204" spans="1:18" ht="18.75" customHeight="1">
      <c r="A204" s="24"/>
      <c r="B204" s="115">
        <v>45927</v>
      </c>
      <c r="C204" s="5" t="str">
        <f t="shared" si="10"/>
        <v>Rachel Castell</v>
      </c>
      <c r="D204" s="5" t="s">
        <v>1200</v>
      </c>
      <c r="E204" s="5" t="s">
        <v>1201</v>
      </c>
      <c r="F204" s="5" t="s">
        <v>1202</v>
      </c>
      <c r="G204" s="5" t="s">
        <v>1203</v>
      </c>
      <c r="H204" s="5" t="s">
        <v>1204</v>
      </c>
      <c r="I204" s="5" t="s">
        <v>424</v>
      </c>
      <c r="J204" s="5" t="s">
        <v>18</v>
      </c>
      <c r="K204" s="51"/>
      <c r="L204" s="52"/>
      <c r="M204" s="52"/>
      <c r="N204" s="92"/>
      <c r="O204" s="52"/>
      <c r="P204" s="52">
        <f t="shared" si="11"/>
        <v>0</v>
      </c>
      <c r="Q204" s="24">
        <v>224</v>
      </c>
      <c r="R204" s="5"/>
    </row>
    <row r="205" spans="1:18" ht="18.75" customHeight="1">
      <c r="A205" s="24"/>
      <c r="B205" s="115">
        <v>45710</v>
      </c>
      <c r="C205" s="5" t="str">
        <f t="shared" si="10"/>
        <v>Richard Ancill</v>
      </c>
      <c r="D205" s="5" t="s">
        <v>587</v>
      </c>
      <c r="E205" s="5" t="s">
        <v>588</v>
      </c>
      <c r="F205" s="5"/>
      <c r="G205" s="5" t="s">
        <v>589</v>
      </c>
      <c r="H205" s="5" t="s">
        <v>590</v>
      </c>
      <c r="I205" s="5" t="s">
        <v>424</v>
      </c>
      <c r="J205" s="5" t="s">
        <v>18</v>
      </c>
      <c r="K205" s="51">
        <v>45840</v>
      </c>
      <c r="L205" s="52">
        <v>5</v>
      </c>
      <c r="M205" s="52"/>
      <c r="N205" s="92">
        <v>-0.45</v>
      </c>
      <c r="O205" s="52"/>
      <c r="P205" s="52">
        <f t="shared" si="11"/>
        <v>4.55</v>
      </c>
      <c r="Q205" s="24">
        <v>40</v>
      </c>
      <c r="R205" s="5"/>
    </row>
    <row r="206" spans="1:18" ht="18.75" customHeight="1">
      <c r="A206" s="24"/>
      <c r="B206" s="115">
        <v>45710</v>
      </c>
      <c r="C206" s="5" t="str">
        <f t="shared" si="10"/>
        <v>Richard Kim</v>
      </c>
      <c r="D206" s="5" t="s">
        <v>587</v>
      </c>
      <c r="E206" s="5" t="s">
        <v>591</v>
      </c>
      <c r="F206" s="5"/>
      <c r="G206" s="5" t="s">
        <v>592</v>
      </c>
      <c r="H206" s="5" t="s">
        <v>593</v>
      </c>
      <c r="I206" s="5" t="s">
        <v>424</v>
      </c>
      <c r="J206" s="5" t="s">
        <v>18</v>
      </c>
      <c r="K206" s="51"/>
      <c r="L206" s="52"/>
      <c r="M206" s="52"/>
      <c r="N206" s="92"/>
      <c r="O206" s="52"/>
      <c r="P206" s="52">
        <f t="shared" si="11"/>
        <v>0</v>
      </c>
      <c r="Q206" s="24">
        <v>41</v>
      </c>
      <c r="R206" s="5"/>
    </row>
    <row r="207" spans="1:18" ht="18.75" customHeight="1">
      <c r="A207" s="24"/>
      <c r="B207" s="115">
        <v>45763</v>
      </c>
      <c r="C207" s="5" t="str">
        <f t="shared" si="10"/>
        <v>Richard Pawson</v>
      </c>
      <c r="D207" s="5" t="s">
        <v>587</v>
      </c>
      <c r="E207" s="5" t="s">
        <v>636</v>
      </c>
      <c r="F207" s="5" t="s">
        <v>637</v>
      </c>
      <c r="G207" s="5" t="s">
        <v>638</v>
      </c>
      <c r="H207" s="5" t="s">
        <v>650</v>
      </c>
      <c r="I207" s="5" t="s">
        <v>424</v>
      </c>
      <c r="J207" s="5" t="s">
        <v>620</v>
      </c>
      <c r="K207" s="51"/>
      <c r="L207" s="52"/>
      <c r="M207" s="52"/>
      <c r="N207" s="92"/>
      <c r="O207" s="52"/>
      <c r="P207" s="52">
        <f t="shared" si="11"/>
        <v>0</v>
      </c>
      <c r="Q207" s="24">
        <v>58</v>
      </c>
      <c r="R207" s="5" t="s">
        <v>699</v>
      </c>
    </row>
    <row r="208" spans="1:18" ht="18.75" customHeight="1">
      <c r="A208" s="24"/>
      <c r="B208" s="115">
        <v>45822</v>
      </c>
      <c r="C208" s="5" t="str">
        <f t="shared" si="10"/>
        <v>Richard Meddelton</v>
      </c>
      <c r="D208" s="19" t="s">
        <v>587</v>
      </c>
      <c r="E208" s="19" t="s">
        <v>585</v>
      </c>
      <c r="F208" s="5" t="s">
        <v>423</v>
      </c>
      <c r="G208" s="5" t="s">
        <v>178</v>
      </c>
      <c r="H208" s="5" t="s">
        <v>1020</v>
      </c>
      <c r="I208" s="5" t="s">
        <v>424</v>
      </c>
      <c r="J208" s="5" t="s">
        <v>18</v>
      </c>
      <c r="K208" s="51"/>
      <c r="L208" s="52"/>
      <c r="M208" s="52"/>
      <c r="N208" s="92"/>
      <c r="O208" s="52"/>
      <c r="P208" s="52">
        <f t="shared" si="11"/>
        <v>0</v>
      </c>
      <c r="Q208" s="24">
        <v>171</v>
      </c>
      <c r="R208" s="5" t="s">
        <v>699</v>
      </c>
    </row>
    <row r="209" spans="1:18" ht="18.75" customHeight="1">
      <c r="A209" s="24"/>
      <c r="B209" s="115">
        <v>45987</v>
      </c>
      <c r="C209" s="5" t="str">
        <f t="shared" si="10"/>
        <v>Rita Robinson</v>
      </c>
      <c r="D209" s="5" t="s">
        <v>1305</v>
      </c>
      <c r="E209" s="5" t="s">
        <v>422</v>
      </c>
      <c r="F209" s="5"/>
      <c r="G209" s="5"/>
      <c r="H209" s="5"/>
      <c r="I209" s="5"/>
      <c r="J209" s="5"/>
      <c r="K209" s="51"/>
      <c r="L209" s="52"/>
      <c r="M209" s="52"/>
      <c r="N209" s="92"/>
      <c r="O209" s="52">
        <v>5</v>
      </c>
      <c r="P209" s="52">
        <f t="shared" si="11"/>
        <v>5</v>
      </c>
      <c r="Q209" s="24">
        <v>255</v>
      </c>
      <c r="R209" s="5"/>
    </row>
    <row r="210" spans="1:18" ht="18.75" customHeight="1">
      <c r="A210" s="24"/>
      <c r="B210" s="115">
        <v>45927</v>
      </c>
      <c r="C210" s="5" t="str">
        <f t="shared" si="10"/>
        <v>Roger Marchant</v>
      </c>
      <c r="D210" s="5" t="s">
        <v>1205</v>
      </c>
      <c r="E210" s="5" t="s">
        <v>1206</v>
      </c>
      <c r="F210" s="5" t="s">
        <v>1207</v>
      </c>
      <c r="G210" s="5" t="s">
        <v>1208</v>
      </c>
      <c r="H210" s="5" t="s">
        <v>1209</v>
      </c>
      <c r="I210" s="5" t="s">
        <v>424</v>
      </c>
      <c r="J210" s="5" t="s">
        <v>18</v>
      </c>
      <c r="K210" s="51"/>
      <c r="L210" s="52"/>
      <c r="M210" s="52"/>
      <c r="N210" s="92"/>
      <c r="O210" s="52"/>
      <c r="P210" s="52">
        <f t="shared" si="11"/>
        <v>0</v>
      </c>
      <c r="Q210" s="24">
        <v>225</v>
      </c>
      <c r="R210" s="5"/>
    </row>
    <row r="211" spans="1:18" ht="18.75" customHeight="1">
      <c r="A211" s="24"/>
      <c r="B211" s="115">
        <v>45777</v>
      </c>
      <c r="C211" s="5" t="str">
        <f t="shared" si="10"/>
        <v>Róisín Kennedy</v>
      </c>
      <c r="D211" s="5" t="s">
        <v>734</v>
      </c>
      <c r="E211" s="5" t="s">
        <v>735</v>
      </c>
      <c r="F211" s="5" t="s">
        <v>736</v>
      </c>
      <c r="G211" s="5" t="s">
        <v>737</v>
      </c>
      <c r="H211" s="5" t="s">
        <v>386</v>
      </c>
      <c r="I211" s="5" t="s">
        <v>424</v>
      </c>
      <c r="J211" s="5" t="s">
        <v>16</v>
      </c>
      <c r="K211" s="51">
        <v>45777</v>
      </c>
      <c r="L211" s="52">
        <v>5</v>
      </c>
      <c r="M211" s="52"/>
      <c r="N211" s="92">
        <v>-0.45</v>
      </c>
      <c r="O211" s="52"/>
      <c r="P211" s="52">
        <f t="shared" si="11"/>
        <v>4.55</v>
      </c>
      <c r="Q211" s="24">
        <v>86</v>
      </c>
      <c r="R211" s="5" t="s">
        <v>738</v>
      </c>
    </row>
    <row r="212" spans="1:18" ht="18.75" customHeight="1">
      <c r="A212" s="24"/>
      <c r="B212" s="115">
        <v>45780</v>
      </c>
      <c r="C212" s="5" t="str">
        <f t="shared" si="10"/>
        <v>Ruby Davies</v>
      </c>
      <c r="D212" s="5" t="s">
        <v>826</v>
      </c>
      <c r="E212" s="5" t="s">
        <v>578</v>
      </c>
      <c r="F212" s="5" t="s">
        <v>637</v>
      </c>
      <c r="G212" s="5" t="s">
        <v>638</v>
      </c>
      <c r="H212" s="5" t="s">
        <v>827</v>
      </c>
      <c r="I212" s="5" t="s">
        <v>424</v>
      </c>
      <c r="J212" s="5" t="s">
        <v>769</v>
      </c>
      <c r="K212" s="51"/>
      <c r="L212" s="52"/>
      <c r="M212" s="52"/>
      <c r="N212" s="92"/>
      <c r="O212" s="52"/>
      <c r="P212" s="52">
        <f t="shared" si="11"/>
        <v>0</v>
      </c>
      <c r="Q212" s="24">
        <v>114</v>
      </c>
      <c r="R212" s="5"/>
    </row>
    <row r="213" spans="1:18" ht="18.75" customHeight="1">
      <c r="A213" s="24"/>
      <c r="B213" s="115">
        <v>45722</v>
      </c>
      <c r="C213" s="5" t="str">
        <f t="shared" si="10"/>
        <v>Russell Nicol</v>
      </c>
      <c r="D213" s="5" t="s">
        <v>617</v>
      </c>
      <c r="E213" s="5" t="s">
        <v>618</v>
      </c>
      <c r="F213" s="5"/>
      <c r="G213" s="5"/>
      <c r="H213" s="5" t="s">
        <v>619</v>
      </c>
      <c r="I213" s="5" t="s">
        <v>424</v>
      </c>
      <c r="J213" s="5" t="s">
        <v>620</v>
      </c>
      <c r="K213" s="51"/>
      <c r="L213" s="52"/>
      <c r="M213" s="52"/>
      <c r="N213" s="92"/>
      <c r="O213" s="52"/>
      <c r="P213" s="52">
        <f t="shared" si="11"/>
        <v>0</v>
      </c>
      <c r="Q213" s="24">
        <v>48</v>
      </c>
      <c r="R213" s="5"/>
    </row>
    <row r="214" spans="1:18" ht="18.75" customHeight="1">
      <c r="A214" s="24"/>
      <c r="B214" s="115">
        <v>45931</v>
      </c>
      <c r="C214" s="5" t="str">
        <f t="shared" si="10"/>
        <v>S Curls</v>
      </c>
      <c r="D214" s="5" t="s">
        <v>1257</v>
      </c>
      <c r="E214" s="5" t="s">
        <v>1258</v>
      </c>
      <c r="F214" s="5" t="s">
        <v>1226</v>
      </c>
      <c r="G214" s="5" t="s">
        <v>1227</v>
      </c>
      <c r="H214" s="5" t="s">
        <v>1259</v>
      </c>
      <c r="I214" s="5" t="s">
        <v>424</v>
      </c>
      <c r="J214" s="5" t="s">
        <v>19</v>
      </c>
      <c r="K214" s="51"/>
      <c r="L214" s="52"/>
      <c r="M214" s="52"/>
      <c r="N214" s="92"/>
      <c r="O214" s="52"/>
      <c r="P214" s="52">
        <f t="shared" si="11"/>
        <v>0</v>
      </c>
      <c r="Q214" s="24">
        <v>240</v>
      </c>
      <c r="R214" s="5"/>
    </row>
    <row r="215" spans="1:18" ht="18.75" customHeight="1">
      <c r="A215" s="24"/>
      <c r="B215" s="115">
        <v>45727</v>
      </c>
      <c r="C215" s="5" t="str">
        <f t="shared" si="10"/>
        <v>Sally George</v>
      </c>
      <c r="D215" s="19" t="s">
        <v>623</v>
      </c>
      <c r="E215" s="19" t="s">
        <v>624</v>
      </c>
      <c r="F215" s="5" t="s">
        <v>625</v>
      </c>
      <c r="G215" s="5" t="s">
        <v>626</v>
      </c>
      <c r="H215" s="5" t="s">
        <v>627</v>
      </c>
      <c r="I215" s="5" t="s">
        <v>424</v>
      </c>
      <c r="J215" s="5" t="s">
        <v>18</v>
      </c>
      <c r="K215" s="51"/>
      <c r="L215" s="89"/>
      <c r="M215" s="52"/>
      <c r="N215" s="92"/>
      <c r="O215" s="52"/>
      <c r="P215" s="52">
        <f t="shared" si="11"/>
        <v>0</v>
      </c>
      <c r="Q215" s="24">
        <v>50</v>
      </c>
      <c r="R215" s="5"/>
    </row>
    <row r="216" spans="1:18" ht="18.75" customHeight="1">
      <c r="A216" s="24"/>
      <c r="B216" s="115">
        <v>45744</v>
      </c>
      <c r="C216" s="5" t="str">
        <f t="shared" si="10"/>
        <v>Sally Pawson</v>
      </c>
      <c r="D216" s="5" t="s">
        <v>623</v>
      </c>
      <c r="E216" s="5" t="s">
        <v>636</v>
      </c>
      <c r="F216" s="5" t="s">
        <v>637</v>
      </c>
      <c r="G216" s="5" t="s">
        <v>638</v>
      </c>
      <c r="H216" s="5" t="s">
        <v>639</v>
      </c>
      <c r="I216" s="5" t="s">
        <v>424</v>
      </c>
      <c r="J216" s="5" t="s">
        <v>640</v>
      </c>
      <c r="K216" s="51">
        <v>45777</v>
      </c>
      <c r="L216" s="52">
        <v>5</v>
      </c>
      <c r="M216" s="52"/>
      <c r="N216" s="92">
        <v>-0.45</v>
      </c>
      <c r="O216" s="52"/>
      <c r="P216" s="52">
        <f t="shared" si="11"/>
        <v>4.55</v>
      </c>
      <c r="Q216" s="24">
        <v>53</v>
      </c>
      <c r="R216" s="5"/>
    </row>
    <row r="217" spans="1:18" ht="18.75" customHeight="1">
      <c r="A217" s="24"/>
      <c r="B217" s="115">
        <v>45932</v>
      </c>
      <c r="C217" s="5" t="str">
        <f t="shared" si="10"/>
        <v>Sally Brown</v>
      </c>
      <c r="D217" s="5" t="s">
        <v>623</v>
      </c>
      <c r="E217" s="5" t="s">
        <v>525</v>
      </c>
      <c r="F217" s="5" t="s">
        <v>1123</v>
      </c>
      <c r="G217" s="5" t="s">
        <v>1482</v>
      </c>
      <c r="H217" s="5" t="s">
        <v>1274</v>
      </c>
      <c r="I217" s="5" t="s">
        <v>424</v>
      </c>
      <c r="J217" s="5" t="s">
        <v>867</v>
      </c>
      <c r="K217" s="51"/>
      <c r="L217" s="52"/>
      <c r="M217" s="52"/>
      <c r="N217" s="92"/>
      <c r="O217" s="52"/>
      <c r="P217" s="52">
        <f t="shared" si="11"/>
        <v>0</v>
      </c>
      <c r="Q217" s="24">
        <v>244</v>
      </c>
      <c r="R217" s="5"/>
    </row>
    <row r="218" spans="1:18" ht="18.75" customHeight="1">
      <c r="A218" s="24"/>
      <c r="B218" s="115">
        <v>45791</v>
      </c>
      <c r="C218" s="5" t="str">
        <f t="shared" si="10"/>
        <v>Sam Griffiths</v>
      </c>
      <c r="D218" s="5" t="s">
        <v>890</v>
      </c>
      <c r="E218" s="5" t="s">
        <v>891</v>
      </c>
      <c r="F218" s="5"/>
      <c r="G218" s="5"/>
      <c r="H218" s="5" t="s">
        <v>893</v>
      </c>
      <c r="I218" s="5" t="s">
        <v>424</v>
      </c>
      <c r="J218" s="5" t="s">
        <v>640</v>
      </c>
      <c r="K218" s="51"/>
      <c r="L218" s="52"/>
      <c r="M218" s="52"/>
      <c r="N218" s="92"/>
      <c r="O218" s="52"/>
      <c r="P218" s="52">
        <f t="shared" si="11"/>
        <v>0</v>
      </c>
      <c r="Q218" s="24">
        <v>131</v>
      </c>
      <c r="R218" s="5"/>
    </row>
    <row r="219" spans="1:18" ht="18.75" customHeight="1">
      <c r="A219" s="24"/>
      <c r="B219" s="115">
        <v>45780</v>
      </c>
      <c r="C219" s="5" t="str">
        <f t="shared" si="10"/>
        <v>Santosh Yellayagari</v>
      </c>
      <c r="D219" s="5" t="s">
        <v>828</v>
      </c>
      <c r="E219" s="5" t="s">
        <v>829</v>
      </c>
      <c r="F219" s="5" t="s">
        <v>637</v>
      </c>
      <c r="G219" s="5" t="s">
        <v>775</v>
      </c>
      <c r="H219" s="5" t="s">
        <v>830</v>
      </c>
      <c r="I219" s="5" t="s">
        <v>424</v>
      </c>
      <c r="J219" s="5" t="s">
        <v>769</v>
      </c>
      <c r="K219" s="51"/>
      <c r="L219" s="52"/>
      <c r="M219" s="52"/>
      <c r="N219" s="92"/>
      <c r="O219" s="52"/>
      <c r="P219" s="52">
        <f t="shared" si="11"/>
        <v>0</v>
      </c>
      <c r="Q219" s="24">
        <v>115</v>
      </c>
      <c r="R219" s="5"/>
    </row>
    <row r="220" spans="1:18" ht="18.75" customHeight="1">
      <c r="A220" s="24"/>
      <c r="B220" s="115">
        <v>45820</v>
      </c>
      <c r="C220" s="5" t="str">
        <f t="shared" si="10"/>
        <v>Sarah Greaves</v>
      </c>
      <c r="D220" s="5" t="s">
        <v>926</v>
      </c>
      <c r="E220" s="5" t="s">
        <v>498</v>
      </c>
      <c r="F220" s="5"/>
      <c r="G220" s="5"/>
      <c r="H220" s="5" t="s">
        <v>927</v>
      </c>
      <c r="I220" s="5" t="s">
        <v>424</v>
      </c>
      <c r="J220" s="5" t="s">
        <v>620</v>
      </c>
      <c r="K220" s="51"/>
      <c r="L220" s="52"/>
      <c r="M220" s="52"/>
      <c r="N220" s="92"/>
      <c r="O220" s="52"/>
      <c r="P220" s="52">
        <f t="shared" si="11"/>
        <v>0</v>
      </c>
      <c r="Q220" s="24">
        <v>141</v>
      </c>
      <c r="R220" s="5"/>
    </row>
    <row r="221" spans="1:18" ht="18.75" customHeight="1">
      <c r="A221" s="24"/>
      <c r="B221" s="115">
        <v>45927</v>
      </c>
      <c r="C221" s="5" t="str">
        <f t="shared" si="10"/>
        <v>Sarah  Gummer</v>
      </c>
      <c r="D221" s="5" t="s">
        <v>1210</v>
      </c>
      <c r="E221" s="5" t="s">
        <v>1211</v>
      </c>
      <c r="F221" s="5" t="s">
        <v>1123</v>
      </c>
      <c r="G221" s="5" t="s">
        <v>1124</v>
      </c>
      <c r="H221" s="5" t="s">
        <v>1212</v>
      </c>
      <c r="I221" s="5" t="s">
        <v>424</v>
      </c>
      <c r="J221" s="5" t="s">
        <v>18</v>
      </c>
      <c r="K221" s="51"/>
      <c r="L221" s="52"/>
      <c r="M221" s="52"/>
      <c r="N221" s="92"/>
      <c r="O221" s="52"/>
      <c r="P221" s="52">
        <f t="shared" si="11"/>
        <v>0</v>
      </c>
      <c r="Q221" s="24">
        <v>226</v>
      </c>
      <c r="R221" s="5"/>
    </row>
    <row r="222" spans="1:18" ht="18.75" customHeight="1">
      <c r="A222" s="24"/>
      <c r="B222" s="115">
        <v>45927</v>
      </c>
      <c r="C222" s="5" t="str">
        <f t="shared" si="10"/>
        <v>Sarah  Rolfe</v>
      </c>
      <c r="D222" s="5" t="s">
        <v>1210</v>
      </c>
      <c r="E222" s="5" t="s">
        <v>1213</v>
      </c>
      <c r="F222" s="5" t="s">
        <v>1214</v>
      </c>
      <c r="G222" s="5" t="s">
        <v>1215</v>
      </c>
      <c r="H222" s="5" t="s">
        <v>1216</v>
      </c>
      <c r="I222" s="5" t="s">
        <v>424</v>
      </c>
      <c r="J222" s="5" t="s">
        <v>18</v>
      </c>
      <c r="K222" s="51"/>
      <c r="L222" s="52"/>
      <c r="M222" s="52"/>
      <c r="N222" s="92"/>
      <c r="O222" s="52"/>
      <c r="P222" s="52">
        <f t="shared" si="11"/>
        <v>0</v>
      </c>
      <c r="Q222" s="24">
        <v>227</v>
      </c>
      <c r="R222" s="5"/>
    </row>
    <row r="223" spans="1:18" ht="18.75" customHeight="1">
      <c r="A223" s="24"/>
      <c r="B223" s="115">
        <v>45941</v>
      </c>
      <c r="C223" s="5" t="str">
        <f t="shared" si="10"/>
        <v>Sharan Kaur Dhami</v>
      </c>
      <c r="D223" s="5" t="s">
        <v>1298</v>
      </c>
      <c r="E223" s="5" t="s">
        <v>1299</v>
      </c>
      <c r="F223" s="5" t="s">
        <v>1300</v>
      </c>
      <c r="G223" s="5" t="s">
        <v>1301</v>
      </c>
      <c r="H223" s="5" t="s">
        <v>1302</v>
      </c>
      <c r="I223" s="5" t="s">
        <v>424</v>
      </c>
      <c r="J223" s="5" t="s">
        <v>14</v>
      </c>
      <c r="K223" s="51"/>
      <c r="L223" s="52"/>
      <c r="M223" s="52"/>
      <c r="N223" s="92"/>
      <c r="O223" s="52"/>
      <c r="P223" s="52">
        <f t="shared" si="11"/>
        <v>0</v>
      </c>
      <c r="Q223" s="24">
        <v>252</v>
      </c>
      <c r="R223" s="5"/>
    </row>
    <row r="224" spans="1:18" ht="18.75" customHeight="1">
      <c r="A224" s="24"/>
      <c r="B224" s="115">
        <v>45780</v>
      </c>
      <c r="C224" s="5" t="str">
        <f t="shared" si="10"/>
        <v>Shaun Cousens</v>
      </c>
      <c r="D224" s="5" t="s">
        <v>831</v>
      </c>
      <c r="E224" s="5" t="s">
        <v>748</v>
      </c>
      <c r="F224" s="5" t="s">
        <v>796</v>
      </c>
      <c r="G224" s="5"/>
      <c r="H224" s="5" t="s">
        <v>832</v>
      </c>
      <c r="I224" s="5" t="s">
        <v>424</v>
      </c>
      <c r="J224" s="5" t="s">
        <v>769</v>
      </c>
      <c r="K224" s="51"/>
      <c r="L224" s="52"/>
      <c r="M224" s="52"/>
      <c r="N224" s="92"/>
      <c r="O224" s="52"/>
      <c r="P224" s="52">
        <f t="shared" si="11"/>
        <v>0</v>
      </c>
      <c r="Q224" s="24">
        <v>116</v>
      </c>
      <c r="R224" s="5"/>
    </row>
    <row r="225" spans="1:18" ht="18.75" customHeight="1">
      <c r="A225" s="24"/>
      <c r="B225" s="115">
        <v>45710</v>
      </c>
      <c r="C225" s="5" t="str">
        <f t="shared" si="10"/>
        <v>Sheila O'Donovan</v>
      </c>
      <c r="D225" s="5" t="s">
        <v>594</v>
      </c>
      <c r="E225" s="5" t="s">
        <v>595</v>
      </c>
      <c r="F225" s="5"/>
      <c r="G225" s="5" t="s">
        <v>456</v>
      </c>
      <c r="H225" s="5" t="s">
        <v>1483</v>
      </c>
      <c r="I225" s="5" t="s">
        <v>424</v>
      </c>
      <c r="J225" s="5" t="s">
        <v>18</v>
      </c>
      <c r="K225" s="51">
        <v>45987</v>
      </c>
      <c r="L225" s="52"/>
      <c r="M225" s="52"/>
      <c r="N225" s="92"/>
      <c r="O225" s="52">
        <v>5</v>
      </c>
      <c r="P225" s="52">
        <f t="shared" si="11"/>
        <v>5</v>
      </c>
      <c r="Q225" s="24">
        <v>42</v>
      </c>
      <c r="R225" s="5"/>
    </row>
    <row r="226" spans="1:18" ht="18.75" customHeight="1">
      <c r="A226" s="24"/>
      <c r="B226" s="115">
        <v>45829</v>
      </c>
      <c r="C226" s="5" t="str">
        <f t="shared" si="10"/>
        <v>Sherie Oddie</v>
      </c>
      <c r="D226" s="5" t="s">
        <v>1028</v>
      </c>
      <c r="E226" s="5" t="s">
        <v>1029</v>
      </c>
      <c r="F226" s="5" t="s">
        <v>450</v>
      </c>
      <c r="G226" s="5" t="s">
        <v>950</v>
      </c>
      <c r="H226" s="5" t="s">
        <v>1030</v>
      </c>
      <c r="I226" s="5" t="s">
        <v>424</v>
      </c>
      <c r="J226" s="5" t="s">
        <v>14</v>
      </c>
      <c r="K226" s="51"/>
      <c r="L226" s="52"/>
      <c r="M226" s="52"/>
      <c r="N226" s="92"/>
      <c r="O226" s="52"/>
      <c r="P226" s="52">
        <f t="shared" si="11"/>
        <v>0</v>
      </c>
      <c r="Q226" s="24">
        <v>175</v>
      </c>
      <c r="R226" s="5"/>
    </row>
    <row r="227" spans="1:18" ht="18.75" customHeight="1">
      <c r="A227" s="24"/>
      <c r="B227" s="115">
        <v>45778</v>
      </c>
      <c r="C227" s="5" t="str">
        <f t="shared" si="10"/>
        <v>Simon Robins</v>
      </c>
      <c r="D227" s="5" t="s">
        <v>761</v>
      </c>
      <c r="E227" s="5" t="s">
        <v>762</v>
      </c>
      <c r="F227" s="5" t="s">
        <v>1484</v>
      </c>
      <c r="G227" s="5" t="s">
        <v>764</v>
      </c>
      <c r="H227" s="5" t="s">
        <v>765</v>
      </c>
      <c r="I227" s="5" t="s">
        <v>424</v>
      </c>
      <c r="J227" s="5" t="s">
        <v>18</v>
      </c>
      <c r="K227" s="51"/>
      <c r="L227" s="52"/>
      <c r="M227" s="52"/>
      <c r="N227" s="92"/>
      <c r="O227" s="52"/>
      <c r="P227" s="52">
        <f t="shared" si="11"/>
        <v>0</v>
      </c>
      <c r="Q227" s="24">
        <v>95</v>
      </c>
      <c r="R227" s="5"/>
    </row>
    <row r="228" spans="1:18" ht="18.75" customHeight="1">
      <c r="A228" s="24"/>
      <c r="B228" s="115">
        <v>45813</v>
      </c>
      <c r="C228" s="5" t="str">
        <f t="shared" si="10"/>
        <v>Sonjoy Premi</v>
      </c>
      <c r="D228" s="5" t="s">
        <v>911</v>
      </c>
      <c r="E228" s="5" t="s">
        <v>912</v>
      </c>
      <c r="F228" s="5" t="s">
        <v>423</v>
      </c>
      <c r="G228" s="5"/>
      <c r="H228" s="5" t="s">
        <v>913</v>
      </c>
      <c r="I228" s="5" t="s">
        <v>424</v>
      </c>
      <c r="J228" s="5" t="s">
        <v>16</v>
      </c>
      <c r="K228" s="51"/>
      <c r="L228" s="52"/>
      <c r="M228" s="52"/>
      <c r="N228" s="92"/>
      <c r="O228" s="52"/>
      <c r="P228" s="52">
        <f t="shared" si="11"/>
        <v>0</v>
      </c>
      <c r="Q228" s="24">
        <v>137</v>
      </c>
      <c r="R228" s="5"/>
    </row>
    <row r="229" spans="1:18" ht="18.75" customHeight="1">
      <c r="A229" s="24"/>
      <c r="B229" s="115">
        <v>45927</v>
      </c>
      <c r="C229" s="5" t="str">
        <f t="shared" si="10"/>
        <v>Stacy Rielly</v>
      </c>
      <c r="D229" s="5" t="s">
        <v>1217</v>
      </c>
      <c r="E229" s="5" t="s">
        <v>1218</v>
      </c>
      <c r="F229" s="5" t="s">
        <v>782</v>
      </c>
      <c r="G229" s="5" t="s">
        <v>1219</v>
      </c>
      <c r="H229" s="5" t="s">
        <v>1220</v>
      </c>
      <c r="I229" s="5" t="s">
        <v>424</v>
      </c>
      <c r="J229" s="5" t="s">
        <v>18</v>
      </c>
      <c r="K229" s="51"/>
      <c r="L229" s="52"/>
      <c r="M229" s="52"/>
      <c r="N229" s="92"/>
      <c r="O229" s="52"/>
      <c r="P229" s="52">
        <f t="shared" si="11"/>
        <v>0</v>
      </c>
      <c r="Q229" s="24">
        <v>228</v>
      </c>
      <c r="R229" s="5"/>
    </row>
    <row r="230" spans="1:18" ht="18.75" customHeight="1">
      <c r="A230" s="24"/>
      <c r="B230" s="115">
        <v>45763</v>
      </c>
      <c r="C230" s="5" t="str">
        <f t="shared" si="10"/>
        <v>Stella  Walter</v>
      </c>
      <c r="D230" s="5" t="s">
        <v>652</v>
      </c>
      <c r="E230" s="5" t="s">
        <v>653</v>
      </c>
      <c r="F230" s="5"/>
      <c r="G230" s="5"/>
      <c r="H230" s="5" t="s">
        <v>656</v>
      </c>
      <c r="I230" s="5" t="s">
        <v>424</v>
      </c>
      <c r="J230" s="5" t="s">
        <v>620</v>
      </c>
      <c r="K230" s="51"/>
      <c r="L230" s="52"/>
      <c r="M230" s="52"/>
      <c r="N230" s="92"/>
      <c r="O230" s="52"/>
      <c r="P230" s="52">
        <f t="shared" si="11"/>
        <v>0</v>
      </c>
      <c r="Q230" s="24">
        <v>59</v>
      </c>
      <c r="R230" s="5"/>
    </row>
    <row r="231" spans="1:18" ht="18.75" customHeight="1">
      <c r="A231" s="24"/>
      <c r="B231" s="115">
        <v>45927</v>
      </c>
      <c r="C231" s="5" t="str">
        <f t="shared" si="10"/>
        <v>Stella  Smith</v>
      </c>
      <c r="D231" s="5" t="s">
        <v>652</v>
      </c>
      <c r="E231" s="5" t="s">
        <v>715</v>
      </c>
      <c r="F231" s="5" t="s">
        <v>478</v>
      </c>
      <c r="G231" s="5" t="s">
        <v>219</v>
      </c>
      <c r="H231" s="5" t="s">
        <v>1221</v>
      </c>
      <c r="I231" s="5" t="s">
        <v>424</v>
      </c>
      <c r="J231" s="5" t="s">
        <v>18</v>
      </c>
      <c r="K231" s="51"/>
      <c r="L231" s="52"/>
      <c r="M231" s="52"/>
      <c r="N231" s="92"/>
      <c r="O231" s="52"/>
      <c r="P231" s="52">
        <f t="shared" ref="P231:P261" si="12">L231+M231+N231+O231</f>
        <v>0</v>
      </c>
      <c r="Q231" s="24">
        <v>229</v>
      </c>
      <c r="R231" s="5"/>
    </row>
    <row r="232" spans="1:18" ht="18.75" customHeight="1">
      <c r="A232" s="24"/>
      <c r="B232" s="115">
        <v>45936</v>
      </c>
      <c r="C232" s="5" t="str">
        <f t="shared" si="10"/>
        <v>Stephen Barter</v>
      </c>
      <c r="D232" s="5" t="s">
        <v>1282</v>
      </c>
      <c r="E232" s="5" t="s">
        <v>1283</v>
      </c>
      <c r="F232" s="5" t="s">
        <v>1284</v>
      </c>
      <c r="G232" s="5" t="s">
        <v>1285</v>
      </c>
      <c r="H232" s="5" t="s">
        <v>1286</v>
      </c>
      <c r="I232" s="5" t="s">
        <v>424</v>
      </c>
      <c r="J232" s="5" t="s">
        <v>19</v>
      </c>
      <c r="K232" s="51"/>
      <c r="L232" s="52"/>
      <c r="M232" s="52"/>
      <c r="N232" s="92"/>
      <c r="O232" s="52"/>
      <c r="P232" s="52">
        <f t="shared" si="12"/>
        <v>0</v>
      </c>
      <c r="Q232" s="24">
        <v>247</v>
      </c>
      <c r="R232" s="5"/>
    </row>
    <row r="233" spans="1:18" ht="18.75" customHeight="1">
      <c r="A233" s="24"/>
      <c r="B233" s="115">
        <v>45710</v>
      </c>
      <c r="C233" s="5" t="str">
        <f t="shared" si="10"/>
        <v>Steve Wherlock</v>
      </c>
      <c r="D233" s="5" t="s">
        <v>597</v>
      </c>
      <c r="E233" s="5" t="s">
        <v>598</v>
      </c>
      <c r="F233" s="5"/>
      <c r="G233" s="5" t="s">
        <v>600</v>
      </c>
      <c r="H233" s="5" t="s">
        <v>601</v>
      </c>
      <c r="I233" s="5" t="s">
        <v>424</v>
      </c>
      <c r="J233" s="5" t="s">
        <v>18</v>
      </c>
      <c r="K233" s="51">
        <v>45987</v>
      </c>
      <c r="L233" s="52">
        <v>5</v>
      </c>
      <c r="M233" s="52">
        <v>5</v>
      </c>
      <c r="N233" s="92"/>
      <c r="O233" s="52"/>
      <c r="P233" s="52">
        <f t="shared" si="12"/>
        <v>10</v>
      </c>
      <c r="Q233" s="24">
        <v>43</v>
      </c>
      <c r="R233" s="25" t="s">
        <v>602</v>
      </c>
    </row>
    <row r="234" spans="1:18" ht="18.75" customHeight="1">
      <c r="A234" s="24"/>
      <c r="B234" s="115">
        <v>45907</v>
      </c>
      <c r="C234" s="5" t="str">
        <f t="shared" si="10"/>
        <v>Steve  Stennett</v>
      </c>
      <c r="D234" s="5" t="s">
        <v>1095</v>
      </c>
      <c r="E234" s="19" t="s">
        <v>1096</v>
      </c>
      <c r="F234" s="5" t="s">
        <v>1097</v>
      </c>
      <c r="G234" s="5" t="s">
        <v>876</v>
      </c>
      <c r="H234" s="5" t="s">
        <v>1098</v>
      </c>
      <c r="I234" s="5" t="s">
        <v>424</v>
      </c>
      <c r="J234" s="5" t="s">
        <v>18</v>
      </c>
      <c r="K234" s="51"/>
      <c r="L234" s="52"/>
      <c r="M234" s="52"/>
      <c r="N234" s="92"/>
      <c r="O234" s="52"/>
      <c r="P234" s="52">
        <f t="shared" si="12"/>
        <v>0</v>
      </c>
      <c r="Q234" s="24">
        <v>192</v>
      </c>
      <c r="R234" s="5"/>
    </row>
    <row r="235" spans="1:18" ht="18.75" customHeight="1">
      <c r="A235" s="24"/>
      <c r="B235" s="115">
        <v>45710</v>
      </c>
      <c r="C235" s="5" t="str">
        <f t="shared" si="10"/>
        <v>Stuart Webster</v>
      </c>
      <c r="D235" s="5" t="s">
        <v>603</v>
      </c>
      <c r="E235" s="5" t="s">
        <v>604</v>
      </c>
      <c r="F235" s="5"/>
      <c r="G235" s="5" t="s">
        <v>605</v>
      </c>
      <c r="H235" s="5" t="s">
        <v>606</v>
      </c>
      <c r="I235" s="5" t="s">
        <v>424</v>
      </c>
      <c r="J235" s="5" t="s">
        <v>18</v>
      </c>
      <c r="K235" s="51"/>
      <c r="L235" s="52"/>
      <c r="M235" s="52"/>
      <c r="N235" s="92"/>
      <c r="O235" s="52"/>
      <c r="P235" s="52">
        <f t="shared" si="12"/>
        <v>0</v>
      </c>
      <c r="Q235" s="24">
        <v>44</v>
      </c>
      <c r="R235" s="5"/>
    </row>
    <row r="236" spans="1:18" s="8" customFormat="1" ht="18.75" customHeight="1">
      <c r="A236" s="24"/>
      <c r="B236" s="115">
        <v>45710</v>
      </c>
      <c r="C236" s="5" t="str">
        <f t="shared" si="10"/>
        <v>Sue Claxton</v>
      </c>
      <c r="D236" s="5" t="s">
        <v>610</v>
      </c>
      <c r="E236" s="5" t="s">
        <v>611</v>
      </c>
      <c r="F236" s="5"/>
      <c r="G236" s="5" t="s">
        <v>486</v>
      </c>
      <c r="H236" s="5" t="s">
        <v>612</v>
      </c>
      <c r="I236" s="5" t="s">
        <v>424</v>
      </c>
      <c r="J236" s="5" t="s">
        <v>18</v>
      </c>
      <c r="K236" s="51"/>
      <c r="L236" s="52"/>
      <c r="M236" s="52"/>
      <c r="N236" s="92"/>
      <c r="O236" s="52"/>
      <c r="P236" s="52">
        <f t="shared" si="12"/>
        <v>0</v>
      </c>
      <c r="Q236" s="24">
        <v>46</v>
      </c>
      <c r="R236" s="5"/>
    </row>
    <row r="237" spans="1:18" s="8" customFormat="1" ht="18.75" customHeight="1">
      <c r="A237" s="24"/>
      <c r="B237" s="115">
        <v>45766</v>
      </c>
      <c r="C237" s="5" t="str">
        <f t="shared" si="10"/>
        <v>Sue Kielty</v>
      </c>
      <c r="D237" s="5" t="s">
        <v>610</v>
      </c>
      <c r="E237" s="5" t="s">
        <v>434</v>
      </c>
      <c r="F237" s="5" t="s">
        <v>683</v>
      </c>
      <c r="G237" s="5" t="s">
        <v>684</v>
      </c>
      <c r="H237" s="5" t="s">
        <v>685</v>
      </c>
      <c r="I237" s="5" t="s">
        <v>424</v>
      </c>
      <c r="J237" s="5" t="s">
        <v>640</v>
      </c>
      <c r="K237" s="51"/>
      <c r="L237" s="52">
        <v>0</v>
      </c>
      <c r="M237" s="52"/>
      <c r="N237" s="92">
        <v>0</v>
      </c>
      <c r="O237" s="52"/>
      <c r="P237" s="52">
        <f t="shared" si="12"/>
        <v>0</v>
      </c>
      <c r="Q237" s="24">
        <v>69</v>
      </c>
      <c r="R237" s="5" t="s">
        <v>699</v>
      </c>
    </row>
    <row r="238" spans="1:18" ht="18.75" customHeight="1">
      <c r="A238" s="24"/>
      <c r="B238" s="115">
        <v>45930</v>
      </c>
      <c r="C238" s="5" t="str">
        <f t="shared" si="10"/>
        <v>Sue Brockwell</v>
      </c>
      <c r="D238" s="5" t="s">
        <v>610</v>
      </c>
      <c r="E238" s="5" t="s">
        <v>1241</v>
      </c>
      <c r="F238" s="5"/>
      <c r="G238" s="5"/>
      <c r="H238" s="5" t="s">
        <v>1242</v>
      </c>
      <c r="I238" s="5" t="s">
        <v>424</v>
      </c>
      <c r="J238" s="5" t="s">
        <v>16</v>
      </c>
      <c r="K238" s="51"/>
      <c r="L238" s="52"/>
      <c r="M238" s="52"/>
      <c r="N238" s="92"/>
      <c r="O238" s="52"/>
      <c r="P238" s="52">
        <f t="shared" si="12"/>
        <v>0</v>
      </c>
      <c r="Q238" s="24">
        <v>235</v>
      </c>
      <c r="R238" s="5"/>
    </row>
    <row r="239" spans="1:18" ht="18.75" customHeight="1">
      <c r="A239" s="24"/>
      <c r="B239" s="115">
        <v>45927</v>
      </c>
      <c r="C239" s="5" t="str">
        <f t="shared" si="10"/>
        <v>Sue  Kirby</v>
      </c>
      <c r="D239" s="5" t="s">
        <v>1222</v>
      </c>
      <c r="E239" s="5" t="s">
        <v>1145</v>
      </c>
      <c r="F239" s="5" t="s">
        <v>1146</v>
      </c>
      <c r="G239" s="5" t="s">
        <v>1147</v>
      </c>
      <c r="H239" s="5" t="s">
        <v>1223</v>
      </c>
      <c r="I239" s="5" t="s">
        <v>424</v>
      </c>
      <c r="J239" s="5" t="s">
        <v>18</v>
      </c>
      <c r="K239" s="51">
        <v>45916</v>
      </c>
      <c r="L239" s="52">
        <v>5</v>
      </c>
      <c r="M239" s="52"/>
      <c r="N239" s="92">
        <v>-0.45</v>
      </c>
      <c r="O239" s="52"/>
      <c r="P239" s="52">
        <f t="shared" si="12"/>
        <v>4.55</v>
      </c>
      <c r="Q239" s="24">
        <v>230</v>
      </c>
      <c r="R239" s="5"/>
    </row>
    <row r="240" spans="1:18" s="8" customFormat="1" ht="18.75" customHeight="1">
      <c r="A240" s="24"/>
      <c r="B240" s="115">
        <v>45710</v>
      </c>
      <c r="C240" s="5" t="str">
        <f t="shared" si="10"/>
        <v>Susan Bland</v>
      </c>
      <c r="D240" s="5" t="s">
        <v>607</v>
      </c>
      <c r="E240" s="5" t="s">
        <v>608</v>
      </c>
      <c r="F240" s="5"/>
      <c r="G240" s="5" t="s">
        <v>456</v>
      </c>
      <c r="H240" s="5" t="s">
        <v>609</v>
      </c>
      <c r="I240" s="5" t="s">
        <v>424</v>
      </c>
      <c r="J240" s="5" t="s">
        <v>18</v>
      </c>
      <c r="K240" s="51">
        <v>45831</v>
      </c>
      <c r="L240" s="52">
        <v>5</v>
      </c>
      <c r="M240" s="52"/>
      <c r="N240" s="92">
        <v>-0.45</v>
      </c>
      <c r="O240" s="52"/>
      <c r="P240" s="52">
        <f t="shared" si="12"/>
        <v>4.55</v>
      </c>
      <c r="Q240" s="24">
        <v>45</v>
      </c>
      <c r="R240" s="5"/>
    </row>
    <row r="241" spans="1:18" ht="18.75" customHeight="1">
      <c r="A241" s="24"/>
      <c r="B241" s="115">
        <v>45723</v>
      </c>
      <c r="C241" s="5" t="str">
        <f t="shared" si="10"/>
        <v>Susan Johnson</v>
      </c>
      <c r="D241" s="5" t="s">
        <v>607</v>
      </c>
      <c r="E241" s="5" t="s">
        <v>621</v>
      </c>
      <c r="F241" s="5"/>
      <c r="G241" s="5"/>
      <c r="H241" s="5" t="s">
        <v>622</v>
      </c>
      <c r="I241" s="5" t="s">
        <v>424</v>
      </c>
      <c r="J241" s="5" t="s">
        <v>620</v>
      </c>
      <c r="K241" s="51">
        <v>45780</v>
      </c>
      <c r="L241" s="52">
        <v>5</v>
      </c>
      <c r="M241" s="52"/>
      <c r="N241" s="92">
        <v>-0.45</v>
      </c>
      <c r="O241" s="52"/>
      <c r="P241" s="52">
        <f t="shared" si="12"/>
        <v>4.55</v>
      </c>
      <c r="Q241" s="24">
        <v>49</v>
      </c>
      <c r="R241" s="5"/>
    </row>
    <row r="242" spans="1:18" ht="18.75" customHeight="1">
      <c r="A242" s="24"/>
      <c r="B242" s="115">
        <v>45777</v>
      </c>
      <c r="C242" s="5" t="str">
        <f t="shared" si="10"/>
        <v>Susan Goddard</v>
      </c>
      <c r="D242" s="5" t="s">
        <v>607</v>
      </c>
      <c r="E242" s="5" t="s">
        <v>739</v>
      </c>
      <c r="F242" s="5"/>
      <c r="G242" s="5"/>
      <c r="H242" s="5" t="s">
        <v>373</v>
      </c>
      <c r="I242" s="5" t="s">
        <v>424</v>
      </c>
      <c r="J242" s="5" t="s">
        <v>18</v>
      </c>
      <c r="K242" s="51">
        <v>45777</v>
      </c>
      <c r="L242" s="52">
        <v>5</v>
      </c>
      <c r="M242" s="52"/>
      <c r="N242" s="92">
        <v>-0.45</v>
      </c>
      <c r="O242" s="52"/>
      <c r="P242" s="52">
        <f t="shared" si="12"/>
        <v>4.55</v>
      </c>
      <c r="Q242" s="24">
        <v>87</v>
      </c>
      <c r="R242" s="5"/>
    </row>
    <row r="243" spans="1:18" ht="18.75" customHeight="1">
      <c r="A243" s="24"/>
      <c r="B243" s="115">
        <v>45936</v>
      </c>
      <c r="C243" s="5" t="str">
        <f t="shared" si="10"/>
        <v>Susan Barter</v>
      </c>
      <c r="D243" s="5" t="s">
        <v>607</v>
      </c>
      <c r="E243" s="5" t="s">
        <v>1283</v>
      </c>
      <c r="F243" s="5" t="s">
        <v>1284</v>
      </c>
      <c r="G243" s="5" t="s">
        <v>1285</v>
      </c>
      <c r="H243" s="5" t="s">
        <v>1287</v>
      </c>
      <c r="I243" s="5" t="s">
        <v>424</v>
      </c>
      <c r="J243" s="5" t="s">
        <v>19</v>
      </c>
      <c r="K243" s="51"/>
      <c r="L243" s="52"/>
      <c r="M243" s="52"/>
      <c r="N243" s="92"/>
      <c r="O243" s="52"/>
      <c r="P243" s="52">
        <f t="shared" si="12"/>
        <v>0</v>
      </c>
      <c r="Q243" s="24">
        <v>248</v>
      </c>
      <c r="R243" s="5"/>
    </row>
    <row r="244" spans="1:18" ht="18.75" customHeight="1">
      <c r="A244" s="24"/>
      <c r="B244" s="115">
        <v>45931</v>
      </c>
      <c r="C244" s="5" t="str">
        <f t="shared" si="10"/>
        <v>Susan  Lane</v>
      </c>
      <c r="D244" s="5" t="s">
        <v>1260</v>
      </c>
      <c r="E244" s="5" t="s">
        <v>1261</v>
      </c>
      <c r="F244" s="5" t="s">
        <v>1262</v>
      </c>
      <c r="G244" s="5" t="s">
        <v>1263</v>
      </c>
      <c r="H244" s="5" t="s">
        <v>1264</v>
      </c>
      <c r="I244" s="5" t="s">
        <v>424</v>
      </c>
      <c r="J244" s="5" t="s">
        <v>640</v>
      </c>
      <c r="K244" s="51"/>
      <c r="L244" s="52"/>
      <c r="M244" s="52"/>
      <c r="N244" s="92"/>
      <c r="O244" s="52"/>
      <c r="P244" s="52">
        <f t="shared" si="12"/>
        <v>0</v>
      </c>
      <c r="Q244" s="24">
        <v>241</v>
      </c>
      <c r="R244" s="5"/>
    </row>
    <row r="245" spans="1:18" ht="18.75" customHeight="1">
      <c r="A245" s="24"/>
      <c r="B245" s="115">
        <v>45902</v>
      </c>
      <c r="C245" s="5" t="str">
        <f t="shared" si="10"/>
        <v>Tara Bashir</v>
      </c>
      <c r="D245" s="5" t="s">
        <v>1059</v>
      </c>
      <c r="E245" s="5" t="s">
        <v>1060</v>
      </c>
      <c r="F245" s="5" t="s">
        <v>1061</v>
      </c>
      <c r="G245" s="5" t="s">
        <v>1062</v>
      </c>
      <c r="H245" s="5" t="s">
        <v>1063</v>
      </c>
      <c r="I245" s="5" t="s">
        <v>424</v>
      </c>
      <c r="J245" s="5" t="s">
        <v>19</v>
      </c>
      <c r="K245" s="51"/>
      <c r="L245" s="52"/>
      <c r="M245" s="52"/>
      <c r="N245" s="92"/>
      <c r="O245" s="52"/>
      <c r="P245" s="52">
        <f t="shared" si="12"/>
        <v>0</v>
      </c>
      <c r="Q245" s="24">
        <v>184</v>
      </c>
      <c r="R245" s="5"/>
    </row>
    <row r="246" spans="1:18" ht="18.75" customHeight="1">
      <c r="A246" s="24"/>
      <c r="B246" s="115">
        <v>45778</v>
      </c>
      <c r="C246" s="5" t="str">
        <f t="shared" si="10"/>
        <v>Tessa Whitehorn</v>
      </c>
      <c r="D246" s="5" t="s">
        <v>425</v>
      </c>
      <c r="E246" s="5" t="s">
        <v>426</v>
      </c>
      <c r="F246" s="5"/>
      <c r="G246" s="5"/>
      <c r="H246" s="5" t="s">
        <v>427</v>
      </c>
      <c r="I246" s="5" t="s">
        <v>424</v>
      </c>
      <c r="J246" s="5" t="s">
        <v>16</v>
      </c>
      <c r="K246" s="51"/>
      <c r="L246" s="52"/>
      <c r="M246" s="52"/>
      <c r="N246" s="92"/>
      <c r="O246" s="52"/>
      <c r="P246" s="52">
        <f t="shared" si="12"/>
        <v>0</v>
      </c>
      <c r="Q246" s="24">
        <v>96</v>
      </c>
      <c r="R246" s="5"/>
    </row>
    <row r="247" spans="1:18" ht="18.75" customHeight="1">
      <c r="A247" s="24"/>
      <c r="B247" s="115">
        <v>45822</v>
      </c>
      <c r="C247" s="5" t="str">
        <f t="shared" si="10"/>
        <v>Tom Nicholas</v>
      </c>
      <c r="D247" s="5" t="s">
        <v>1021</v>
      </c>
      <c r="E247" s="5" t="s">
        <v>879</v>
      </c>
      <c r="F247" s="5" t="s">
        <v>423</v>
      </c>
      <c r="G247" s="5" t="s">
        <v>583</v>
      </c>
      <c r="H247" s="5" t="s">
        <v>1022</v>
      </c>
      <c r="I247" s="5" t="s">
        <v>424</v>
      </c>
      <c r="J247" s="5" t="s">
        <v>18</v>
      </c>
      <c r="K247" s="51">
        <v>45790</v>
      </c>
      <c r="L247" s="52">
        <v>5</v>
      </c>
      <c r="M247" s="52"/>
      <c r="N247" s="92">
        <v>-0.45</v>
      </c>
      <c r="O247" s="52"/>
      <c r="P247" s="52">
        <f t="shared" si="12"/>
        <v>4.55</v>
      </c>
      <c r="Q247" s="24">
        <v>172</v>
      </c>
      <c r="R247" s="5"/>
    </row>
    <row r="248" spans="1:18" ht="18.75" customHeight="1">
      <c r="A248" s="24"/>
      <c r="B248" s="116">
        <v>45822</v>
      </c>
      <c r="C248" s="46" t="str">
        <f t="shared" si="10"/>
        <v>Tom Shannon</v>
      </c>
      <c r="D248" s="139" t="s">
        <v>1021</v>
      </c>
      <c r="E248" s="139" t="s">
        <v>474</v>
      </c>
      <c r="F248" s="46" t="s">
        <v>1485</v>
      </c>
      <c r="G248" s="46" t="s">
        <v>430</v>
      </c>
      <c r="H248" s="46" t="s">
        <v>1024</v>
      </c>
      <c r="I248" s="46" t="s">
        <v>424</v>
      </c>
      <c r="J248" s="46" t="s">
        <v>18</v>
      </c>
      <c r="K248" s="55"/>
      <c r="L248" s="56"/>
      <c r="M248" s="56"/>
      <c r="N248" s="94"/>
      <c r="O248" s="56"/>
      <c r="P248" s="52">
        <f t="shared" si="12"/>
        <v>0</v>
      </c>
      <c r="Q248" s="47">
        <v>173</v>
      </c>
      <c r="R248" s="46"/>
    </row>
    <row r="249" spans="1:18" ht="18.75" customHeight="1">
      <c r="A249" s="24"/>
      <c r="B249" s="69">
        <v>45931</v>
      </c>
      <c r="C249" s="43" t="str">
        <f t="shared" si="10"/>
        <v>Ursula Wnuk</v>
      </c>
      <c r="D249" s="43" t="s">
        <v>1265</v>
      </c>
      <c r="E249" s="43" t="s">
        <v>1266</v>
      </c>
      <c r="F249" s="43" t="s">
        <v>423</v>
      </c>
      <c r="G249" s="43" t="s">
        <v>1267</v>
      </c>
      <c r="H249" s="43" t="s">
        <v>172</v>
      </c>
      <c r="I249" s="43" t="s">
        <v>424</v>
      </c>
      <c r="J249" s="43" t="s">
        <v>867</v>
      </c>
      <c r="K249" s="57">
        <v>45984</v>
      </c>
      <c r="L249" s="58">
        <v>5</v>
      </c>
      <c r="M249" s="58"/>
      <c r="N249" s="95">
        <v>-0.45</v>
      </c>
      <c r="O249" s="58"/>
      <c r="P249" s="52">
        <f t="shared" si="12"/>
        <v>4.55</v>
      </c>
      <c r="Q249" s="44">
        <v>242</v>
      </c>
      <c r="R249" s="43"/>
    </row>
    <row r="250" spans="1:18" ht="18.75" customHeight="1">
      <c r="A250" s="24"/>
      <c r="B250" s="69">
        <v>45710</v>
      </c>
      <c r="C250" s="43" t="str">
        <f t="shared" si="10"/>
        <v>Valeri Scott</v>
      </c>
      <c r="D250" s="43" t="s">
        <v>1486</v>
      </c>
      <c r="E250" s="43" t="s">
        <v>614</v>
      </c>
      <c r="F250" s="43"/>
      <c r="G250" s="43" t="s">
        <v>615</v>
      </c>
      <c r="H250" s="43" t="s">
        <v>616</v>
      </c>
      <c r="I250" s="43" t="s">
        <v>424</v>
      </c>
      <c r="J250" s="43" t="s">
        <v>18</v>
      </c>
      <c r="K250" s="57"/>
      <c r="L250" s="58"/>
      <c r="M250" s="58"/>
      <c r="N250" s="95"/>
      <c r="O250" s="58"/>
      <c r="P250" s="52">
        <f t="shared" si="12"/>
        <v>0</v>
      </c>
      <c r="Q250" s="44">
        <v>47</v>
      </c>
      <c r="R250" s="43"/>
    </row>
    <row r="251" spans="1:18" ht="18.75" customHeight="1">
      <c r="A251" s="24"/>
      <c r="B251" s="69">
        <v>45753</v>
      </c>
      <c r="C251" s="43" t="str">
        <f t="shared" si="10"/>
        <v>Valerie Wrightson</v>
      </c>
      <c r="D251" s="43" t="s">
        <v>613</v>
      </c>
      <c r="E251" s="43" t="s">
        <v>645</v>
      </c>
      <c r="F251" s="43"/>
      <c r="G251" s="43"/>
      <c r="H251" s="43" t="s">
        <v>646</v>
      </c>
      <c r="I251" s="43" t="s">
        <v>424</v>
      </c>
      <c r="J251" s="43" t="s">
        <v>620</v>
      </c>
      <c r="K251" s="57"/>
      <c r="L251" s="58"/>
      <c r="M251" s="58"/>
      <c r="N251" s="95"/>
      <c r="O251" s="58"/>
      <c r="P251" s="52">
        <f t="shared" si="12"/>
        <v>0</v>
      </c>
      <c r="Q251" s="44">
        <v>55</v>
      </c>
      <c r="R251" s="43"/>
    </row>
    <row r="252" spans="1:18" ht="18.75" customHeight="1">
      <c r="A252" s="24"/>
      <c r="B252" s="69">
        <v>45873</v>
      </c>
      <c r="C252" s="43" t="str">
        <f t="shared" si="10"/>
        <v>Valerie Bryant</v>
      </c>
      <c r="D252" s="43" t="s">
        <v>613</v>
      </c>
      <c r="E252" s="43" t="s">
        <v>1047</v>
      </c>
      <c r="F252" s="43" t="s">
        <v>441</v>
      </c>
      <c r="G252" s="43" t="s">
        <v>1048</v>
      </c>
      <c r="H252" s="43" t="s">
        <v>1049</v>
      </c>
      <c r="I252" s="43" t="s">
        <v>424</v>
      </c>
      <c r="J252" s="43" t="s">
        <v>19</v>
      </c>
      <c r="K252" s="57"/>
      <c r="L252" s="58"/>
      <c r="M252" s="58"/>
      <c r="N252" s="95"/>
      <c r="O252" s="58"/>
      <c r="P252" s="52">
        <f t="shared" si="12"/>
        <v>0</v>
      </c>
      <c r="Q252" s="44">
        <v>181</v>
      </c>
      <c r="R252" s="43"/>
    </row>
    <row r="253" spans="1:18" ht="18.75" customHeight="1">
      <c r="A253" s="24"/>
      <c r="B253" s="69">
        <v>45763</v>
      </c>
      <c r="C253" s="43" t="str">
        <f t="shared" si="10"/>
        <v>Vatsal Patel</v>
      </c>
      <c r="D253" s="43" t="s">
        <v>657</v>
      </c>
      <c r="E253" s="43" t="s">
        <v>658</v>
      </c>
      <c r="F253" s="43"/>
      <c r="G253" s="43"/>
      <c r="H253" s="43" t="s">
        <v>659</v>
      </c>
      <c r="I253" s="43" t="s">
        <v>424</v>
      </c>
      <c r="J253" s="43" t="s">
        <v>620</v>
      </c>
      <c r="K253" s="57"/>
      <c r="L253" s="58"/>
      <c r="M253" s="58"/>
      <c r="N253" s="95"/>
      <c r="O253" s="58"/>
      <c r="P253" s="52">
        <f t="shared" si="12"/>
        <v>0</v>
      </c>
      <c r="Q253" s="44">
        <v>60</v>
      </c>
      <c r="R253" s="43"/>
    </row>
    <row r="254" spans="1:18" ht="18.75" customHeight="1">
      <c r="A254" s="24"/>
      <c r="B254" s="69">
        <v>45783</v>
      </c>
      <c r="C254" s="43" t="str">
        <f t="shared" si="10"/>
        <v>Vicky Inglis</v>
      </c>
      <c r="D254" s="43" t="s">
        <v>863</v>
      </c>
      <c r="E254" s="43" t="s">
        <v>864</v>
      </c>
      <c r="F254" s="43" t="s">
        <v>692</v>
      </c>
      <c r="G254" s="43" t="s">
        <v>865</v>
      </c>
      <c r="H254" s="43" t="s">
        <v>866</v>
      </c>
      <c r="I254" s="43" t="s">
        <v>424</v>
      </c>
      <c r="J254" s="43" t="s">
        <v>867</v>
      </c>
      <c r="K254" s="57"/>
      <c r="L254" s="58"/>
      <c r="M254" s="58"/>
      <c r="N254" s="92"/>
      <c r="O254" s="58"/>
      <c r="P254" s="52">
        <f t="shared" si="12"/>
        <v>0</v>
      </c>
      <c r="Q254" s="44">
        <v>125</v>
      </c>
      <c r="R254" s="43"/>
    </row>
    <row r="255" spans="1:18" ht="18.75" customHeight="1">
      <c r="A255" s="24"/>
      <c r="B255" s="69">
        <v>45779</v>
      </c>
      <c r="C255" s="43" t="str">
        <f t="shared" si="10"/>
        <v>Vrishikaben Patel</v>
      </c>
      <c r="D255" s="43" t="s">
        <v>773</v>
      </c>
      <c r="E255" s="43" t="s">
        <v>658</v>
      </c>
      <c r="F255" s="43"/>
      <c r="G255" s="43"/>
      <c r="H255" s="43" t="s">
        <v>774</v>
      </c>
      <c r="I255" s="43" t="s">
        <v>424</v>
      </c>
      <c r="J255" s="43" t="s">
        <v>640</v>
      </c>
      <c r="K255" s="57"/>
      <c r="L255" s="58"/>
      <c r="M255" s="58"/>
      <c r="N255" s="95"/>
      <c r="O255" s="58"/>
      <c r="P255" s="52">
        <f t="shared" si="12"/>
        <v>0</v>
      </c>
      <c r="Q255" s="44">
        <v>99</v>
      </c>
      <c r="R255" s="43"/>
    </row>
    <row r="256" spans="1:18" ht="18.75" customHeight="1">
      <c r="A256" s="24"/>
      <c r="B256" s="69">
        <v>45822</v>
      </c>
      <c r="C256" s="43" t="str">
        <f t="shared" si="10"/>
        <v>William McLennan</v>
      </c>
      <c r="D256" s="138" t="s">
        <v>934</v>
      </c>
      <c r="E256" s="138" t="s">
        <v>935</v>
      </c>
      <c r="F256" s="43" t="s">
        <v>542</v>
      </c>
      <c r="G256" s="43" t="s">
        <v>543</v>
      </c>
      <c r="H256" s="43" t="s">
        <v>936</v>
      </c>
      <c r="I256" s="43" t="s">
        <v>424</v>
      </c>
      <c r="J256" s="43" t="s">
        <v>18</v>
      </c>
      <c r="K256" s="57">
        <v>45834</v>
      </c>
      <c r="L256" s="58">
        <v>5</v>
      </c>
      <c r="M256" s="58"/>
      <c r="N256" s="95">
        <v>-0.45</v>
      </c>
      <c r="O256" s="58"/>
      <c r="P256" s="52">
        <f t="shared" si="12"/>
        <v>4.55</v>
      </c>
      <c r="Q256" s="44">
        <v>144</v>
      </c>
      <c r="R256" s="43"/>
    </row>
    <row r="257" spans="1:19" ht="18.75" customHeight="1">
      <c r="A257" s="24"/>
      <c r="B257" s="69"/>
      <c r="C257" s="43"/>
      <c r="D257" s="43"/>
      <c r="E257" s="43"/>
      <c r="F257" s="43"/>
      <c r="G257" s="45"/>
      <c r="H257" s="43"/>
      <c r="I257" s="43"/>
      <c r="J257" s="43"/>
      <c r="K257" s="57"/>
      <c r="L257" s="59"/>
      <c r="M257" s="59"/>
      <c r="N257" s="95"/>
      <c r="O257" s="58"/>
      <c r="P257" s="52">
        <f t="shared" si="12"/>
        <v>0</v>
      </c>
      <c r="Q257" s="44">
        <v>256</v>
      </c>
      <c r="R257" s="43"/>
    </row>
    <row r="258" spans="1:19" ht="18.75" customHeight="1">
      <c r="A258" s="24"/>
      <c r="B258" s="69"/>
      <c r="C258" s="43"/>
      <c r="D258" s="43"/>
      <c r="E258" s="43"/>
      <c r="F258" s="43"/>
      <c r="G258" s="45"/>
      <c r="H258" s="43"/>
      <c r="I258" s="43"/>
      <c r="J258" s="43"/>
      <c r="K258" s="57"/>
      <c r="L258" s="59"/>
      <c r="M258" s="59"/>
      <c r="N258" s="95"/>
      <c r="O258" s="58"/>
      <c r="P258" s="52">
        <f t="shared" si="12"/>
        <v>0</v>
      </c>
      <c r="Q258" s="44">
        <v>257</v>
      </c>
      <c r="R258" s="43"/>
    </row>
    <row r="259" spans="1:19" ht="18.75" customHeight="1">
      <c r="A259" s="24"/>
      <c r="B259" s="69"/>
      <c r="C259" s="43"/>
      <c r="D259" s="43"/>
      <c r="E259" s="43"/>
      <c r="F259" s="43"/>
      <c r="G259" s="45"/>
      <c r="H259" s="43"/>
      <c r="I259" s="43"/>
      <c r="J259" s="43"/>
      <c r="K259" s="57"/>
      <c r="L259" s="59"/>
      <c r="M259" s="59"/>
      <c r="N259" s="95"/>
      <c r="O259" s="58"/>
      <c r="P259" s="52">
        <f t="shared" si="12"/>
        <v>0</v>
      </c>
      <c r="Q259" s="44">
        <v>258</v>
      </c>
      <c r="R259" s="43"/>
    </row>
    <row r="260" spans="1:19" ht="18.75" customHeight="1">
      <c r="A260" s="24"/>
      <c r="B260" s="69"/>
      <c r="C260" s="43"/>
      <c r="D260" s="43"/>
      <c r="E260" s="43"/>
      <c r="F260" s="43"/>
      <c r="G260" s="45"/>
      <c r="H260" s="43"/>
      <c r="I260" s="43"/>
      <c r="J260" s="43"/>
      <c r="K260" s="57"/>
      <c r="L260" s="59"/>
      <c r="M260" s="59"/>
      <c r="N260" s="95"/>
      <c r="O260" s="58"/>
      <c r="P260" s="52">
        <f t="shared" si="12"/>
        <v>0</v>
      </c>
      <c r="Q260" s="44">
        <v>259</v>
      </c>
      <c r="R260" s="43"/>
    </row>
    <row r="261" spans="1:19" ht="18.75" customHeight="1">
      <c r="A261" s="24"/>
      <c r="B261" s="69"/>
      <c r="C261" s="43"/>
      <c r="D261" s="43"/>
      <c r="E261" s="43"/>
      <c r="F261" s="43"/>
      <c r="G261" s="45"/>
      <c r="H261" s="43"/>
      <c r="I261" s="43"/>
      <c r="J261" s="43"/>
      <c r="K261" s="57"/>
      <c r="L261" s="59"/>
      <c r="M261" s="59"/>
      <c r="N261" s="95"/>
      <c r="O261" s="58">
        <v>20</v>
      </c>
      <c r="P261" s="52">
        <f t="shared" si="12"/>
        <v>20</v>
      </c>
      <c r="Q261" s="44">
        <v>260</v>
      </c>
      <c r="R261" s="43"/>
    </row>
    <row r="262" spans="1:19" ht="18.75" customHeight="1">
      <c r="A262" s="26"/>
    </row>
    <row r="263" spans="1:19" ht="18.75" customHeight="1">
      <c r="A263" s="26"/>
      <c r="K263" s="87" t="s">
        <v>1487</v>
      </c>
      <c r="L263" s="88">
        <f>SUM(L2:L261)</f>
        <v>335</v>
      </c>
      <c r="M263" s="88">
        <f t="shared" ref="M263:O263" si="13">SUM(M2:M261)</f>
        <v>35</v>
      </c>
      <c r="N263" s="97">
        <f t="shared" si="13"/>
        <v>-29.64999999999997</v>
      </c>
      <c r="O263" s="88">
        <f t="shared" si="13"/>
        <v>55</v>
      </c>
      <c r="P263" s="88">
        <f>SUM(P2:P261)</f>
        <v>395.35000000000036</v>
      </c>
    </row>
    <row r="265" spans="1:19" ht="18.75" customHeight="1">
      <c r="N265" s="98"/>
    </row>
    <row r="267" spans="1:19" ht="18.75" customHeight="1">
      <c r="L267" s="90"/>
      <c r="M267" s="90"/>
      <c r="N267" s="90"/>
      <c r="O267" s="90"/>
      <c r="P267" s="89"/>
    </row>
    <row r="268" spans="1:19" ht="18.75" customHeight="1">
      <c r="L268" s="90"/>
      <c r="M268" s="90"/>
      <c r="N268" s="90"/>
      <c r="O268" s="90"/>
      <c r="P268" s="90"/>
      <c r="Q268" s="90"/>
      <c r="R268" s="26"/>
      <c r="S268" s="7"/>
    </row>
    <row r="269" spans="1:19" ht="18.75" customHeight="1">
      <c r="L269" s="89"/>
      <c r="M269" s="89"/>
      <c r="N269" s="89"/>
      <c r="O269" s="89"/>
      <c r="P269" s="90"/>
      <c r="Q269" s="89"/>
      <c r="R269" s="26"/>
      <c r="S269" s="7"/>
    </row>
    <row r="270" spans="1:19" ht="18.75" customHeight="1">
      <c r="L270" s="89"/>
      <c r="M270" s="89"/>
      <c r="N270" s="89"/>
      <c r="O270" s="89"/>
      <c r="P270" s="90"/>
      <c r="Q270" s="61"/>
      <c r="R270" s="26"/>
      <c r="S270" s="7"/>
    </row>
    <row r="271" spans="1:19" ht="18.75" customHeight="1">
      <c r="L271" s="89"/>
    </row>
    <row r="273" spans="12:13" ht="18.75" customHeight="1">
      <c r="L273" s="89"/>
      <c r="M273" s="89"/>
    </row>
    <row r="274" spans="12:13" ht="18.75" customHeight="1">
      <c r="L274" s="89"/>
    </row>
  </sheetData>
  <autoFilter ref="A1:R261" xr:uid="{54D07F5A-F1C5-4619-AF0E-669ADB1B8D47}">
    <sortState xmlns:xlrd2="http://schemas.microsoft.com/office/spreadsheetml/2017/richdata2" ref="A2:R261">
      <sortCondition ref="D1:D261"/>
    </sortState>
  </autoFilter>
  <sortState xmlns:xlrd2="http://schemas.microsoft.com/office/spreadsheetml/2017/richdata2" ref="B2:K215">
    <sortCondition ref="B2:B215"/>
  </sortState>
  <hyperlinks>
    <hyperlink ref="F128" r:id="rId1" tooltip="https://www.google.com/maps/search/40+Reedsfield+Road?entry=gmail&amp;source=g" display="https://www.google.com/maps/search/40+Reedsfield+Road?entry=gmail&amp;source=g" xr:uid="{D6FD220D-A4EF-4985-8847-F8F1069E299F}"/>
    <hyperlink ref="H167" r:id="rId2" xr:uid="{203EF156-B196-413B-9E4D-4DB6D384F1AA}"/>
  </hyperlinks>
  <pageMargins left="0.7" right="0.7" top="0.75" bottom="0.75" header="0.3" footer="0.3"/>
  <pageSetup orientation="portrait" r:id="rId3"/>
  <headerFooter>
    <oddFooter>&amp;R_x000D_&amp;1#&amp;"Calibri"&amp;8&amp;K000000 Cisco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0399D4-4B85-47E6-8D5F-DA32C426052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ASHFORD RESIDENTS ASSOCIATION</vt:lpstr>
      <vt:lpstr>Cash</vt:lpstr>
      <vt:lpstr>PayPal&gt;</vt:lpstr>
      <vt:lpstr>ALL MEMBERS</vt:lpstr>
      <vt:lpstr>&lt;PayPal</vt:lpstr>
      <vt:lpstr>BLANK SIGN UP NEW MEMBERS</vt:lpstr>
      <vt:lpstr>BLANK SIGN UP SHEET 2</vt:lpstr>
      <vt:lpstr>ALL MEMBERS x1</vt:lpstr>
      <vt:lpstr>'BLANK SIGN UP NEW MEMBERS'!Print_Area</vt:lpstr>
      <vt:lpstr>'BLANK SIGN UP SHEET 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Penny Kielty (pkielty)</dc:creator>
  <cp:keywords/>
  <dc:description/>
  <cp:lastModifiedBy>Microsoft Office User</cp:lastModifiedBy>
  <cp:revision/>
  <dcterms:created xsi:type="dcterms:W3CDTF">2025-02-22T13:20:04Z</dcterms:created>
  <dcterms:modified xsi:type="dcterms:W3CDTF">2026-05-04T10:48:15Z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2025-02-22T14:12:49Z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0a12ce1c-bcbd-4744-8d85-37a72dd081f2</vt:lpwstr>
  </property>
  <property fmtid="{D5CDD505-2E9C-101B-9397-08002B2CF9AE}" pid="8" name="MSIP_Label_c8f49a32-fde3-48a5-9266-b5b0972a22dc_ContentBits">
    <vt:lpwstr>2</vt:lpwstr>
  </property>
</Properties>
</file>